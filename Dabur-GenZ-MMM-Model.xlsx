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m\Downloads\"/>
    </mc:Choice>
  </mc:AlternateContent>
  <xr:revisionPtr revIDLastSave="0" documentId="13_ncr:1_{80D0F853-FC09-4AA1-AF80-11AC7FCE42D7}" xr6:coauthVersionLast="47" xr6:coauthVersionMax="47" xr10:uidLastSave="{00000000-0000-0000-0000-000000000000}"/>
  <bookViews>
    <workbookView xWindow="-108" yWindow="-108" windowWidth="23256" windowHeight="12456" tabRatio="500" firstSheet="2" activeTab="5" xr2:uid="{00000000-000D-0000-FFFF-FFFF00000000}"/>
  </bookViews>
  <sheets>
    <sheet name="Assumptions" sheetId="2" r:id="rId1"/>
    <sheet name="Monthly Data" sheetId="3" r:id="rId2"/>
    <sheet name="Adstock" sheetId="4" r:id="rId3"/>
    <sheet name="MMM Regression" sheetId="5" r:id="rId4"/>
    <sheet name="Budget Reallocation" sheetId="6" r:id="rId5"/>
    <sheet name="GTM Research Plan" sheetId="9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2" l="1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F16" i="5" s="1"/>
  <c r="A17" i="5"/>
  <c r="B17" i="5"/>
  <c r="A18" i="5"/>
  <c r="B18" i="5"/>
  <c r="A19" i="5"/>
  <c r="B19" i="5"/>
  <c r="F19" i="5" s="1"/>
  <c r="A20" i="5"/>
  <c r="B20" i="5"/>
  <c r="F20" i="5" s="1"/>
  <c r="A21" i="5"/>
  <c r="B21" i="5"/>
  <c r="C9" i="6"/>
  <c r="C10" i="6" s="1"/>
  <c r="B30" i="5"/>
  <c r="F30" i="5" s="1"/>
  <c r="A30" i="5"/>
  <c r="B29" i="5"/>
  <c r="F29" i="5" s="1"/>
  <c r="A29" i="5"/>
  <c r="B28" i="5"/>
  <c r="F28" i="5" s="1"/>
  <c r="A28" i="5"/>
  <c r="B27" i="5"/>
  <c r="F27" i="5" s="1"/>
  <c r="A27" i="5"/>
  <c r="B26" i="5"/>
  <c r="F26" i="5" s="1"/>
  <c r="A26" i="5"/>
  <c r="B25" i="5"/>
  <c r="F25" i="5" s="1"/>
  <c r="A25" i="5"/>
  <c r="B24" i="5"/>
  <c r="F24" i="5" s="1"/>
  <c r="A24" i="5"/>
  <c r="B23" i="5"/>
  <c r="F23" i="5" s="1"/>
  <c r="A23" i="5"/>
  <c r="B22" i="5"/>
  <c r="F22" i="5" s="1"/>
  <c r="A22" i="5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E3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A3" i="4"/>
  <c r="E2" i="4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C2" i="4"/>
  <c r="C3" i="4" s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B2" i="4"/>
  <c r="B3" i="4" s="1"/>
  <c r="A2" i="4"/>
  <c r="G26" i="3"/>
  <c r="E26" i="3"/>
  <c r="C42" i="5" s="1"/>
  <c r="B8" i="6" s="1"/>
  <c r="D8" i="6" s="1"/>
  <c r="D26" i="3"/>
  <c r="C41" i="5" s="1"/>
  <c r="B7" i="6" s="1"/>
  <c r="D7" i="6" s="1"/>
  <c r="C26" i="3"/>
  <c r="C40" i="5" s="1"/>
  <c r="B6" i="6" s="1"/>
  <c r="D6" i="6" s="1"/>
  <c r="B26" i="3"/>
  <c r="C39" i="5" s="1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B8" i="2"/>
  <c r="F7" i="5" l="1"/>
  <c r="F8" i="5"/>
  <c r="F9" i="5"/>
  <c r="F10" i="5"/>
  <c r="F11" i="5"/>
  <c r="F12" i="5"/>
  <c r="F13" i="5"/>
  <c r="F14" i="5"/>
  <c r="F15" i="5"/>
  <c r="F17" i="5"/>
  <c r="F18" i="5"/>
  <c r="F21" i="5"/>
  <c r="F26" i="3"/>
  <c r="C43" i="5"/>
  <c r="B5" i="6"/>
  <c r="B4" i="4"/>
  <c r="B5" i="4" l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F31" i="5"/>
  <c r="D5" i="6"/>
  <c r="D9" i="6" s="1"/>
  <c r="B9" i="6"/>
  <c r="B3" i="5" l="1" a="1"/>
  <c r="B3" i="5" l="1"/>
  <c r="B42" i="5" s="1"/>
  <c r="D42" i="5" s="1"/>
  <c r="F3" i="5"/>
  <c r="E3" i="5"/>
  <c r="B39" i="5" s="1"/>
  <c r="D39" i="5" s="1"/>
  <c r="F39" i="5" s="1"/>
  <c r="E5" i="6" s="1"/>
  <c r="F5" i="6" s="1"/>
  <c r="D3" i="5"/>
  <c r="B40" i="5" s="1"/>
  <c r="D40" i="5" s="1"/>
  <c r="F40" i="5" s="1"/>
  <c r="E6" i="6" s="1"/>
  <c r="F6" i="6" s="1"/>
  <c r="C3" i="5"/>
  <c r="B41" i="5" s="1"/>
  <c r="D41" i="5" s="1"/>
  <c r="F42" i="5"/>
  <c r="E8" i="6" s="1"/>
  <c r="F8" i="6" s="1"/>
  <c r="F41" i="5"/>
  <c r="E7" i="6" s="1"/>
  <c r="F7" i="6" s="1"/>
  <c r="C29" i="5" l="1"/>
  <c r="D29" i="5" s="1"/>
  <c r="E29" i="5" s="1"/>
  <c r="C23" i="5"/>
  <c r="D23" i="5" s="1"/>
  <c r="E23" i="5" s="1"/>
  <c r="D44" i="5"/>
  <c r="C30" i="5"/>
  <c r="D30" i="5" s="1"/>
  <c r="E30" i="5" s="1"/>
  <c r="C26" i="5"/>
  <c r="D26" i="5" s="1"/>
  <c r="E26" i="5" s="1"/>
  <c r="C25" i="5"/>
  <c r="D25" i="5" s="1"/>
  <c r="E25" i="5" s="1"/>
  <c r="C27" i="5"/>
  <c r="D27" i="5" s="1"/>
  <c r="E27" i="5" s="1"/>
  <c r="C28" i="5"/>
  <c r="D28" i="5" s="1"/>
  <c r="E28" i="5" s="1"/>
  <c r="D43" i="5"/>
  <c r="E40" i="5" s="1"/>
  <c r="C19" i="5"/>
  <c r="D19" i="5" s="1"/>
  <c r="E19" i="5" s="1"/>
  <c r="C17" i="5"/>
  <c r="D17" i="5" s="1"/>
  <c r="E17" i="5" s="1"/>
  <c r="C15" i="5"/>
  <c r="D15" i="5" s="1"/>
  <c r="E15" i="5" s="1"/>
  <c r="C11" i="5"/>
  <c r="D11" i="5" s="1"/>
  <c r="E11" i="5" s="1"/>
  <c r="C14" i="5"/>
  <c r="D14" i="5" s="1"/>
  <c r="E14" i="5" s="1"/>
  <c r="C8" i="5"/>
  <c r="D8" i="5" s="1"/>
  <c r="E8" i="5" s="1"/>
  <c r="C7" i="5"/>
  <c r="D7" i="5" s="1"/>
  <c r="E7" i="5" s="1"/>
  <c r="C16" i="5"/>
  <c r="D16" i="5" s="1"/>
  <c r="E16" i="5" s="1"/>
  <c r="C10" i="5"/>
  <c r="D10" i="5" s="1"/>
  <c r="E10" i="5" s="1"/>
  <c r="C18" i="5"/>
  <c r="D18" i="5" s="1"/>
  <c r="E18" i="5" s="1"/>
  <c r="C12" i="5"/>
  <c r="D12" i="5" s="1"/>
  <c r="E12" i="5" s="1"/>
  <c r="C21" i="5"/>
  <c r="D21" i="5" s="1"/>
  <c r="E21" i="5" s="1"/>
  <c r="C20" i="5"/>
  <c r="D20" i="5" s="1"/>
  <c r="E20" i="5" s="1"/>
  <c r="C13" i="5"/>
  <c r="D13" i="5" s="1"/>
  <c r="E13" i="5" s="1"/>
  <c r="C9" i="5"/>
  <c r="D9" i="5" s="1"/>
  <c r="E9" i="5" s="1"/>
  <c r="C24" i="5"/>
  <c r="D24" i="5" s="1"/>
  <c r="E24" i="5" s="1"/>
  <c r="C22" i="5"/>
  <c r="D22" i="5" s="1"/>
  <c r="E22" i="5" s="1"/>
  <c r="F9" i="6"/>
  <c r="F12" i="6" s="1"/>
  <c r="E39" i="5"/>
  <c r="E31" i="5" l="1"/>
  <c r="B33" i="5" s="1"/>
  <c r="B34" i="5" s="1"/>
  <c r="E42" i="5"/>
  <c r="E41" i="5"/>
</calcChain>
</file>

<file path=xl/sharedStrings.xml><?xml version="1.0" encoding="utf-8"?>
<sst xmlns="http://schemas.openxmlformats.org/spreadsheetml/2006/main" count="168" uniqueCount="137">
  <si>
    <t>Assumptions &amp; Calibration Inputs</t>
  </si>
  <si>
    <t>Assumption</t>
  </si>
  <si>
    <t>Value</t>
  </si>
  <si>
    <t>Type</t>
  </si>
  <si>
    <t>Source / Basis</t>
  </si>
  <si>
    <t>Dabur FY2025 total A&amp;P spend (Rs crore)</t>
  </si>
  <si>
    <t>REAL</t>
  </si>
  <si>
    <t>BestMediaInfo, 7-May-2025 (see Read Me tab)</t>
  </si>
  <si>
    <t>Dabur FY2025 consolidated revenue (Rs crore)</t>
  </si>
  <si>
    <t>A&amp;P spend as % of revenue (implied)</t>
  </si>
  <si>
    <t>FORMULA</t>
  </si>
  <si>
    <t>864.64 / 12563 — matches ~7% cited by MatrixBCG</t>
  </si>
  <si>
    <t>Immunity &amp; Wellness range share of total A&amp;P budget</t>
  </si>
  <si>
    <t>ASSUMPTION</t>
  </si>
  <si>
    <t>Analyst assumption for portfolio scoping — not disclosed by Dabur</t>
  </si>
  <si>
    <t>Implied annual category marketing budget (Rs crore)</t>
  </si>
  <si>
    <t>Equals Total A&amp;P spend x category share</t>
  </si>
  <si>
    <t>Traditional Media (TV+Print) average share of category budget</t>
  </si>
  <si>
    <t>Modeled starting mix</t>
  </si>
  <si>
    <t>Digital Display &amp; Search average share of category budget</t>
  </si>
  <si>
    <t>Influencer/Social average share of category budget</t>
  </si>
  <si>
    <t>Modeled starting mix, weighted up given Gen-Z focus</t>
  </si>
  <si>
    <t>Trade Promo &amp; Sampling average share of category budget</t>
  </si>
  <si>
    <t>Adstock decay rate — Traditional Media</t>
  </si>
  <si>
    <t>Higher carryover typical of mass broadcast media (industry rule-of-thumb range 0.3-0.7)</t>
  </si>
  <si>
    <t>Adstock decay rate — Digital Display &amp; Search</t>
  </si>
  <si>
    <t>Faster decay — search/display intent is largely immediate</t>
  </si>
  <si>
    <t>Adstock decay rate — Influencer/Social</t>
  </si>
  <si>
    <t>Moderate carryover — content resurfaces via shares/algorithm for a few weeks</t>
  </si>
  <si>
    <t>Adstock decay rate — Trade Promo &amp; Sampling</t>
  </si>
  <si>
    <t>Very fast decay — promo-driven purchase is largely immediate</t>
  </si>
  <si>
    <t>Base monthly category sales before marketing effect (Rs crore)</t>
  </si>
  <si>
    <t>Modeled baseline; anchors the regression intercept to a plausible category size</t>
  </si>
  <si>
    <t>Seasonality uplift — Oct to Feb (immunity season)</t>
  </si>
  <si>
    <t>Reflects real seasonal immunity-category demand pattern (winter cold/flu season in India)</t>
  </si>
  <si>
    <t>Seasonality discount — Jun to Aug (monsoon/low season)</t>
  </si>
  <si>
    <t>Reflects lower discretionary wellness purchase in monsoon months</t>
  </si>
  <si>
    <t>Legend: blue fill = real disclosed figure  |  yellow fill = analyst assumption (edit freely)  |  black = live formula</t>
  </si>
  <si>
    <t>Month</t>
  </si>
  <si>
    <t>Traditional Media (TV+Print)</t>
  </si>
  <si>
    <t>Digital Display &amp; Search</t>
  </si>
  <si>
    <t>Influencer/Social</t>
  </si>
  <si>
    <t>Trade Promo &amp; Sampling</t>
  </si>
  <si>
    <t>Total Spend</t>
  </si>
  <si>
    <t>Sales (Rs Cr)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</si>
  <si>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</si>
  <si>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</si>
  <si>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</si>
  <si>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</si>
  <si>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</si>
  <si>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</si>
  <si>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</si>
  <si>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</si>
  <si>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</si>
  <si>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</si>
  <si>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</si>
  <si>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</si>
  <si>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</si>
  <si>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</si>
  <si>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</si>
  <si>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</si>
  <si>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</si>
  <si>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</si>
  <si>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</si>
  <si>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</si>
  <si>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</si>
  <si>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</si>
  <si>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</si>
  <si>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</si>
  <si>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</t>
  </si>
  <si>
    <t>MMM Regression — LINEST Multiple Regression Output</t>
  </si>
  <si>
    <t>LINEST coefficients</t>
  </si>
  <si>
    <t>Coef: Trade Promo</t>
  </si>
  <si>
    <t>Coef: Influencer/Social</t>
  </si>
  <si>
    <t>Coef: Digital Disp&amp;Search</t>
  </si>
  <si>
    <t>Coef: Traditional Media</t>
  </si>
  <si>
    <t>Intercept</t>
  </si>
  <si>
    <t>Coefficients / Intercept</t>
  </si>
  <si>
    <t>Model Fit Diagnostics (Actual vs Predicted)</t>
  </si>
  <si>
    <t>Actual Sales</t>
  </si>
  <si>
    <t>Predicted Sales</t>
  </si>
  <si>
    <t>Residual</t>
  </si>
  <si>
    <t>Sq. Residual</t>
  </si>
  <si>
    <t>Sq. Total Deviation</t>
  </si>
  <si>
    <t>SUM</t>
  </si>
  <si>
    <t>R-squared</t>
  </si>
  <si>
    <t>F-statistic (k=4 predictors, n=24 months)</t>
  </si>
  <si>
    <t>Channel Contribution &amp; ROI</t>
  </si>
  <si>
    <t>Channel</t>
  </si>
  <si>
    <t>Coefficient (Rs Cr sales per Rs Cr adstocked spend)</t>
  </si>
  <si>
    <t>Total Spend (Rs Cr, 24mo)</t>
  </si>
  <si>
    <t>Attributed Sales (Rs Cr)</t>
  </si>
  <si>
    <t>Contribution %</t>
  </si>
  <si>
    <t>ROI (x)</t>
  </si>
  <si>
    <t>TOTAL (marketing-attributed)</t>
  </si>
  <si>
    <t>Base sales (non-marketing, intercept x 24mo)</t>
  </si>
  <si>
    <t>Budget Reallocation What-If Scenario</t>
  </si>
  <si>
    <t>Edit the yellow 'Shift (Rs Cr)' cells to move annual budget between channels. Projected incremental sales use each channel's MMM-derived ROI. Shifts must net to zero.</t>
  </si>
  <si>
    <t>Current Annual Spend (Rs Cr)</t>
  </si>
  <si>
    <t>Shift (Rs Cr)</t>
  </si>
  <si>
    <t>New Annual Spend (Rs Cr)</t>
  </si>
  <si>
    <t>Incremental Sales from Shift (Rs Cr)</t>
  </si>
  <si>
    <t>TOTAL / NET</t>
  </si>
  <si>
    <t>Balance check (should be 0)</t>
  </si>
  <si>
    <t>Net projected incremental sales from reallocation (Rs Cr)</t>
  </si>
  <si>
    <t>Example scenario already entered: shift Rs 3 Cr from Influencer/Social to Traditional Media — the lowest- and highest-ROI channels in THIS dataset (edit freely, and re-check the ROI column if you change assumptions, since which channel is 'best' can change).</t>
  </si>
  <si>
    <t>Primary Research Plan — Gen-Z Wellness Survey (fill in real data)</t>
  </si>
  <si>
    <t>This tab is a TEMPLATE, not simulated data — go run this survey for real (Google Forms works well), aiming for 100+ respondents + 8-10 follow-up interviews, mirroring your Lakme L.I.M.E. project methodology. Tally real responses into the yellow cells below.</t>
  </si>
  <si>
    <t>SURVEY QUESTIONS (target: Gen-Z, ages 18-27)</t>
  </si>
  <si>
    <t>Q1. How often do you consume wellness/immunity products (chyawanprash, health drinks, supplements)? (Never / Occasionally / Regularly)</t>
  </si>
  <si>
    <t>Q2. What comes to mind when you hear 'Dabur' or 'Chyawanprash'? (Open-ended)</t>
  </si>
  <si>
    <t>Q3. Do you associate Ayurvedic wellness brands with being 'for young people' or 'for parents/grandparents'?</t>
  </si>
  <si>
    <t>Q4. Which factors matter most when choosing a wellness product? (Taste/format, Price, Scientific backing, Brand trust, Recommendation from influencer/friend)</t>
  </si>
  <si>
    <t>Q5. Which platforms do you discover new wellness/health products on? (Instagram, YouTube, TikTok-equivalent, Word of mouth, In-store)</t>
  </si>
  <si>
    <t>Q6. Would you try a modern format of a traditional wellness product (e.g., gummies, shots, on-the-go sachets)? (Yes/No/Maybe)</t>
  </si>
  <si>
    <t>Q7. How important is sustainability/clean-label messaging in your purchase decision? (1-5 scale)</t>
  </si>
  <si>
    <t>Q8. Net Promoter-style: How likely are you to recommend an Ayurvedic wellness brand to a friend? (0-10)</t>
  </si>
  <si>
    <t>RESPONSE TALLY TEMPLATE (paste your real survey results here)</t>
  </si>
  <si>
    <t>Question</t>
  </si>
  <si>
    <t>Option A</t>
  </si>
  <si>
    <t>Option B</t>
  </si>
  <si>
    <t>Option C</t>
  </si>
  <si>
    <t>Option D</t>
  </si>
  <si>
    <t>Q1 - Consumption frequency (%)</t>
  </si>
  <si>
    <t>Q3 - Young vs Parents association (%)</t>
  </si>
  <si>
    <t>Q4 - Top purchase factor (%)</t>
  </si>
  <si>
    <t>Q5 - Discovery platform (%)</t>
  </si>
  <si>
    <t>Q6 - Willing to try modern format (%)</t>
  </si>
  <si>
    <t>INTERVIEW GUIDE (8-10 respondents, 15-20 min each)</t>
  </si>
  <si>
    <t>- Walk me through the last time you bought/consumed a wellness or immunity product.</t>
  </si>
  <si>
    <t>- What would make an Ayurvedic brand feel 'made for you' rather than 'made for your parents'?</t>
  </si>
  <si>
    <t>- Show a mock modern-format product (gummy/shot). Get unprompted reaction, then probe on price sensitivity and repeat-purchase likelihood.</t>
  </si>
  <si>
    <t>POSITIONING FRAMEWORK (fill in after research — Insight/Tension/Resolution, same as Lakme project)</t>
  </si>
  <si>
    <t>Insight:</t>
  </si>
  <si>
    <t>Tension:</t>
  </si>
  <si>
    <t>Resolution:</t>
  </si>
  <si>
    <t>Moneycontrol, Storyboard18, 7-May-2025 (see Read Me tab)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</si>
</sst>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.000"/>
    <numFmt numFmtId="166" formatCode="0.0000"/>
    <numFmt numFmtId="167" formatCode="0.00\x"/>
    <numFmt numFmtId="168" formatCode="#,##0.00;\(#,##0.00\)"/>
    <numFmt numFmtId="169" formatCode="[$-F800]dddd\,\ mmmm\ dd\,\ yyyy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9"/>
      <color rgb="FF595959"/>
      <name val="Arial"/>
      <family val="2"/>
    </font>
    <font>
      <i/>
      <sz val="9"/>
      <color rgb="FF7F7F7F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11"/>
      <color rgb="FF1F4E78"/>
      <name val="Arial"/>
      <family val="2"/>
    </font>
    <font>
      <i/>
      <sz val="10"/>
      <name val="Arial"/>
      <family val="2"/>
    </font>
    <font>
      <i/>
      <sz val="9"/>
      <color rgb="FFC00000"/>
      <name val="Arial"/>
      <family val="2"/>
    </font>
    <font>
      <sz val="9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E5C8A"/>
      </patternFill>
    </fill>
    <fill>
      <patternFill patternType="solid">
        <fgColor rgb="FF2E5C8A"/>
        <bgColor rgb="FF1F4E78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6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4" fontId="5" fillId="4" borderId="1" xfId="0" applyNumberFormat="1" applyFont="1" applyFill="1" applyBorder="1"/>
    <xf numFmtId="0" fontId="6" fillId="0" borderId="1" xfId="0" applyFont="1" applyBorder="1"/>
    <xf numFmtId="0" fontId="7" fillId="0" borderId="1" xfId="0" applyFont="1" applyBorder="1" applyAlignment="1">
      <alignment wrapText="1"/>
    </xf>
    <xf numFmtId="164" fontId="2" fillId="0" borderId="1" xfId="0" applyNumberFormat="1" applyFont="1" applyBorder="1"/>
    <xf numFmtId="9" fontId="5" fillId="5" borderId="1" xfId="0" applyNumberFormat="1" applyFont="1" applyFill="1" applyBorder="1"/>
    <xf numFmtId="4" fontId="2" fillId="0" borderId="1" xfId="0" applyNumberFormat="1" applyFont="1" applyBorder="1"/>
    <xf numFmtId="0" fontId="0" fillId="0" borderId="1" xfId="0" applyBorder="1"/>
    <xf numFmtId="0" fontId="5" fillId="5" borderId="1" xfId="0" applyFont="1" applyFill="1" applyBorder="1"/>
    <xf numFmtId="4" fontId="5" fillId="5" borderId="1" xfId="0" applyNumberFormat="1" applyFont="1" applyFill="1" applyBorder="1"/>
    <xf numFmtId="165" fontId="5" fillId="0" borderId="1" xfId="0" applyNumberFormat="1" applyFont="1" applyBorder="1"/>
    <xf numFmtId="165" fontId="2" fillId="0" borderId="1" xfId="0" applyNumberFormat="1" applyFont="1" applyBorder="1"/>
    <xf numFmtId="4" fontId="5" fillId="0" borderId="1" xfId="0" applyNumberFormat="1" applyFont="1" applyBorder="1"/>
    <xf numFmtId="0" fontId="8" fillId="0" borderId="1" xfId="0" applyFont="1" applyBorder="1"/>
    <xf numFmtId="4" fontId="8" fillId="0" borderId="1" xfId="0" applyNumberFormat="1" applyFont="1" applyBorder="1"/>
    <xf numFmtId="0" fontId="8" fillId="0" borderId="0" xfId="0" applyFont="1"/>
    <xf numFmtId="0" fontId="9" fillId="0" borderId="0" xfId="0" applyFont="1"/>
    <xf numFmtId="166" fontId="0" fillId="0" borderId="1" xfId="0" applyNumberFormat="1" applyBorder="1"/>
    <xf numFmtId="0" fontId="10" fillId="0" borderId="0" xfId="0" applyFont="1"/>
    <xf numFmtId="4" fontId="8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166" fontId="2" fillId="0" borderId="1" xfId="0" applyNumberFormat="1" applyFont="1" applyBorder="1"/>
    <xf numFmtId="167" fontId="2" fillId="0" borderId="1" xfId="0" applyNumberFormat="1" applyFont="1" applyBorder="1"/>
    <xf numFmtId="0" fontId="11" fillId="0" borderId="0" xfId="0" applyFont="1"/>
    <xf numFmtId="4" fontId="2" fillId="0" borderId="0" xfId="0" applyNumberFormat="1" applyFont="1"/>
    <xf numFmtId="168" fontId="5" fillId="5" borderId="1" xfId="0" applyNumberFormat="1" applyFont="1" applyFill="1" applyBorder="1"/>
    <xf numFmtId="168" fontId="2" fillId="0" borderId="1" xfId="0" applyNumberFormat="1" applyFont="1" applyBorder="1"/>
    <xf numFmtId="168" fontId="8" fillId="0" borderId="1" xfId="0" applyNumberFormat="1" applyFont="1" applyBorder="1"/>
    <xf numFmtId="4" fontId="12" fillId="0" borderId="0" xfId="0" applyNumberFormat="1" applyFont="1"/>
    <xf numFmtId="168" fontId="8" fillId="0" borderId="0" xfId="0" applyNumberFormat="1" applyFont="1"/>
    <xf numFmtId="0" fontId="0" fillId="5" borderId="1" xfId="0" applyFill="1" applyBorder="1"/>
    <xf numFmtId="169" fontId="4" fillId="0" borderId="1" xfId="0" applyNumberFormat="1" applyFont="1" applyBorder="1"/>
    <xf numFmtId="169" fontId="2" fillId="0" borderId="1" xfId="0" applyNumberFormat="1" applyFont="1" applyBorder="1"/>
    <xf numFmtId="14" fontId="2" fillId="0" borderId="1" xfId="0" applyNumberFormat="1" applyFont="1" applyBorder="1"/>
    <xf numFmtId="0" fontId="1" fillId="2" borderId="0" xfId="0" applyFont="1" applyFill="1" applyAlignment="1">
      <alignment horizontal="left" vertical="center" indent="1"/>
    </xf>
    <xf numFmtId="0" fontId="6" fillId="0" borderId="0" xfId="0" applyFont="1"/>
    <xf numFmtId="0" fontId="13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2E5C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showGridLines="0" zoomScaleNormal="100" workbookViewId="0">
      <selection sqref="A1:XFD1"/>
    </sheetView>
  </sheetViews>
  <sheetFormatPr defaultColWidth="8.6640625" defaultRowHeight="14.4" x14ac:dyDescent="0.3"/>
  <cols>
    <col min="1" max="1" width="46" customWidth="1"/>
    <col min="2" max="2" width="16" customWidth="1"/>
    <col min="3" max="3" width="12.33203125" bestFit="1" customWidth="1"/>
    <col min="4" max="4" width="70" customWidth="1"/>
  </cols>
  <sheetData>
    <row r="1" spans="1:4" ht="25.5" customHeight="1" x14ac:dyDescent="0.3">
      <c r="A1" s="38" t="s">
        <v>0</v>
      </c>
      <c r="B1" s="38"/>
      <c r="C1" s="38"/>
      <c r="D1" s="38"/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 t="s">
        <v>5</v>
      </c>
      <c r="B4" s="4">
        <v>864.64</v>
      </c>
      <c r="C4" s="5" t="s">
        <v>6</v>
      </c>
      <c r="D4" s="6" t="s">
        <v>7</v>
      </c>
    </row>
    <row r="5" spans="1:4" x14ac:dyDescent="0.3">
      <c r="A5" s="3" t="s">
        <v>8</v>
      </c>
      <c r="B5" s="4">
        <v>12563</v>
      </c>
      <c r="C5" s="5" t="s">
        <v>6</v>
      </c>
      <c r="D5" s="6" t="s">
        <v>136</v>
      </c>
    </row>
    <row r="6" spans="1:4" x14ac:dyDescent="0.3">
      <c r="A6" s="3" t="s">
        <v>9</v>
      </c>
      <c r="B6" s="7">
        <f>B4/B5</f>
        <v>6.8824325399984079E-2</v>
      </c>
      <c r="C6" s="5" t="s">
        <v>10</v>
      </c>
      <c r="D6" s="6" t="s">
        <v>11</v>
      </c>
    </row>
    <row r="7" spans="1:4" x14ac:dyDescent="0.3">
      <c r="A7" s="3" t="s">
        <v>12</v>
      </c>
      <c r="B7" s="8">
        <v>0.08</v>
      </c>
      <c r="C7" s="5" t="s">
        <v>13</v>
      </c>
      <c r="D7" s="6" t="s">
        <v>14</v>
      </c>
    </row>
    <row r="8" spans="1:4" x14ac:dyDescent="0.3">
      <c r="A8" s="3" t="s">
        <v>15</v>
      </c>
      <c r="B8" s="9">
        <f>B4*B7</f>
        <v>69.171199999999999</v>
      </c>
      <c r="C8" s="5" t="s">
        <v>10</v>
      </c>
      <c r="D8" s="6" t="s">
        <v>16</v>
      </c>
    </row>
    <row r="9" spans="1:4" x14ac:dyDescent="0.3">
      <c r="A9" s="3"/>
      <c r="B9" s="10"/>
      <c r="C9" s="5"/>
      <c r="D9" s="6"/>
    </row>
    <row r="10" spans="1:4" x14ac:dyDescent="0.3">
      <c r="A10" s="3" t="s">
        <v>17</v>
      </c>
      <c r="B10" s="8">
        <v>0.35</v>
      </c>
      <c r="C10" s="5" t="s">
        <v>13</v>
      </c>
      <c r="D10" s="6" t="s">
        <v>18</v>
      </c>
    </row>
    <row r="11" spans="1:4" x14ac:dyDescent="0.3">
      <c r="A11" s="3" t="s">
        <v>19</v>
      </c>
      <c r="B11" s="8">
        <v>0.27</v>
      </c>
      <c r="C11" s="5" t="s">
        <v>13</v>
      </c>
      <c r="D11" s="6" t="s">
        <v>18</v>
      </c>
    </row>
    <row r="12" spans="1:4" x14ac:dyDescent="0.3">
      <c r="A12" s="3" t="s">
        <v>20</v>
      </c>
      <c r="B12" s="8">
        <v>0.26</v>
      </c>
      <c r="C12" s="5" t="s">
        <v>13</v>
      </c>
      <c r="D12" s="6" t="s">
        <v>21</v>
      </c>
    </row>
    <row r="13" spans="1:4" x14ac:dyDescent="0.3">
      <c r="A13" s="3" t="s">
        <v>22</v>
      </c>
      <c r="B13" s="8">
        <v>0.12</v>
      </c>
      <c r="C13" s="5" t="s">
        <v>13</v>
      </c>
      <c r="D13" s="6" t="s">
        <v>18</v>
      </c>
    </row>
    <row r="14" spans="1:4" x14ac:dyDescent="0.3">
      <c r="A14" s="3"/>
      <c r="B14" s="10"/>
      <c r="C14" s="5"/>
      <c r="D14" s="6"/>
    </row>
    <row r="15" spans="1:4" x14ac:dyDescent="0.3">
      <c r="A15" s="3" t="s">
        <v>23</v>
      </c>
      <c r="B15" s="11">
        <v>0.5</v>
      </c>
      <c r="C15" s="5" t="s">
        <v>13</v>
      </c>
      <c r="D15" s="6" t="s">
        <v>24</v>
      </c>
    </row>
    <row r="16" spans="1:4" x14ac:dyDescent="0.3">
      <c r="A16" s="3" t="s">
        <v>25</v>
      </c>
      <c r="B16" s="11">
        <v>0.3</v>
      </c>
      <c r="C16" s="5" t="s">
        <v>13</v>
      </c>
      <c r="D16" s="6" t="s">
        <v>26</v>
      </c>
    </row>
    <row r="17" spans="1:4" x14ac:dyDescent="0.3">
      <c r="A17" s="3" t="s">
        <v>27</v>
      </c>
      <c r="B17" s="11">
        <v>0.45</v>
      </c>
      <c r="C17" s="5" t="s">
        <v>13</v>
      </c>
      <c r="D17" s="6" t="s">
        <v>28</v>
      </c>
    </row>
    <row r="18" spans="1:4" x14ac:dyDescent="0.3">
      <c r="A18" s="3" t="s">
        <v>29</v>
      </c>
      <c r="B18" s="11">
        <v>0.15</v>
      </c>
      <c r="C18" s="5" t="s">
        <v>13</v>
      </c>
      <c r="D18" s="6" t="s">
        <v>30</v>
      </c>
    </row>
    <row r="19" spans="1:4" x14ac:dyDescent="0.3">
      <c r="A19" s="3"/>
      <c r="B19" s="10"/>
      <c r="C19" s="5"/>
      <c r="D19" s="6"/>
    </row>
    <row r="20" spans="1:4" x14ac:dyDescent="0.3">
      <c r="A20" s="3" t="s">
        <v>31</v>
      </c>
      <c r="B20" s="12">
        <v>45</v>
      </c>
      <c r="C20" s="5" t="s">
        <v>13</v>
      </c>
      <c r="D20" s="6" t="s">
        <v>32</v>
      </c>
    </row>
    <row r="21" spans="1:4" x14ac:dyDescent="0.3">
      <c r="A21" s="3" t="s">
        <v>33</v>
      </c>
      <c r="B21" s="8">
        <v>0.18</v>
      </c>
      <c r="C21" s="5" t="s">
        <v>13</v>
      </c>
      <c r="D21" s="6" t="s">
        <v>34</v>
      </c>
    </row>
    <row r="22" spans="1:4" x14ac:dyDescent="0.3">
      <c r="A22" s="3" t="s">
        <v>35</v>
      </c>
      <c r="B22" s="8">
        <v>-0.1</v>
      </c>
      <c r="C22" s="5" t="s">
        <v>13</v>
      </c>
      <c r="D22" s="6" t="s">
        <v>36</v>
      </c>
    </row>
    <row r="24" spans="1:4" x14ac:dyDescent="0.3">
      <c r="A24" s="1" t="s">
        <v>37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showGridLines="0" zoomScaleNormal="100" workbookViewId="0">
      <pane xSplit="1" ySplit="1" topLeftCell="B3" activePane="bottomRight" state="frozen"/>
      <selection pane="topRight" activeCell="C1" sqref="C1"/>
      <selection pane="bottomLeft" activeCell="A6" sqref="A6"/>
      <selection pane="bottomRight" activeCell="J12" sqref="J12"/>
    </sheetView>
  </sheetViews>
  <sheetFormatPr defaultColWidth="8.6640625" defaultRowHeight="14.4" x14ac:dyDescent="0.3"/>
  <cols>
    <col min="1" max="1" width="10" customWidth="1"/>
    <col min="2" max="3" width="20" customWidth="1"/>
    <col min="4" max="4" width="18" customWidth="1"/>
    <col min="5" max="5" width="20" customWidth="1"/>
    <col min="6" max="6" width="12" customWidth="1"/>
    <col min="7" max="7" width="14" customWidth="1"/>
  </cols>
  <sheetData>
    <row r="1" spans="1:7" ht="26.4" x14ac:dyDescent="0.3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</row>
    <row r="2" spans="1:7" x14ac:dyDescent="0.3">
      <c r="A2" s="35" t="s">
        <v>45</v>
      </c>
      <c r="B2" s="13">
        <v>2.2629999999999999</v>
      </c>
      <c r="C2" s="13">
        <v>0.872</v>
      </c>
      <c r="D2" s="13">
        <v>1.6719999999999999</v>
      </c>
      <c r="E2" s="13">
        <v>0.94099999999999995</v>
      </c>
      <c r="F2" s="14">
        <f t="shared" ref="F2:F25" si="0">SUM(B2:E2)</f>
        <v>5.7479999999999993</v>
      </c>
      <c r="G2" s="15">
        <v>56.03</v>
      </c>
    </row>
    <row r="3" spans="1:7" x14ac:dyDescent="0.3">
      <c r="A3" s="35" t="s">
        <v>46</v>
      </c>
      <c r="B3" s="13">
        <v>1.597</v>
      </c>
      <c r="C3" s="13">
        <v>1.3480000000000001</v>
      </c>
      <c r="D3" s="13">
        <v>1.7230000000000001</v>
      </c>
      <c r="E3" s="13">
        <v>0.89</v>
      </c>
      <c r="F3" s="14">
        <f t="shared" si="0"/>
        <v>5.5579999999999998</v>
      </c>
      <c r="G3" s="15">
        <v>58.77</v>
      </c>
    </row>
    <row r="4" spans="1:7" x14ac:dyDescent="0.3">
      <c r="A4" s="35" t="s">
        <v>47</v>
      </c>
      <c r="B4" s="13">
        <v>1.4990000000000001</v>
      </c>
      <c r="C4" s="13">
        <v>1.59</v>
      </c>
      <c r="D4" s="13">
        <v>1.605</v>
      </c>
      <c r="E4" s="13">
        <v>0.50700000000000001</v>
      </c>
      <c r="F4" s="14">
        <f t="shared" si="0"/>
        <v>5.2010000000000005</v>
      </c>
      <c r="G4" s="15">
        <v>58.97</v>
      </c>
    </row>
    <row r="5" spans="1:7" x14ac:dyDescent="0.3">
      <c r="A5" s="35" t="s">
        <v>48</v>
      </c>
      <c r="B5" s="13">
        <v>1.946</v>
      </c>
      <c r="C5" s="13">
        <v>1.077</v>
      </c>
      <c r="D5" s="13">
        <v>1.4279999999999999</v>
      </c>
      <c r="E5" s="13">
        <v>0.91900000000000004</v>
      </c>
      <c r="F5" s="14">
        <f t="shared" si="0"/>
        <v>5.3699999999999992</v>
      </c>
      <c r="G5" s="15">
        <v>58.97</v>
      </c>
    </row>
    <row r="6" spans="1:7" x14ac:dyDescent="0.3">
      <c r="A6" s="35" t="s">
        <v>49</v>
      </c>
      <c r="B6" s="13">
        <v>2.0779999999999998</v>
      </c>
      <c r="C6" s="13">
        <v>1.629</v>
      </c>
      <c r="D6" s="13">
        <v>2.1259999999999999</v>
      </c>
      <c r="E6" s="13">
        <v>0.68200000000000005</v>
      </c>
      <c r="F6" s="14">
        <f t="shared" si="0"/>
        <v>6.5150000000000006</v>
      </c>
      <c r="G6" s="15">
        <v>62.96</v>
      </c>
    </row>
    <row r="7" spans="1:7" x14ac:dyDescent="0.3">
      <c r="A7" s="35" t="s">
        <v>50</v>
      </c>
      <c r="B7" s="13">
        <v>2.3159999999999998</v>
      </c>
      <c r="C7" s="13">
        <v>2.089</v>
      </c>
      <c r="D7" s="13">
        <v>1.8779999999999999</v>
      </c>
      <c r="E7" s="13">
        <v>0.74</v>
      </c>
      <c r="F7" s="14">
        <f t="shared" si="0"/>
        <v>7.0229999999999997</v>
      </c>
      <c r="G7" s="15">
        <v>68.75</v>
      </c>
    </row>
    <row r="8" spans="1:7" x14ac:dyDescent="0.3">
      <c r="A8" s="35" t="s">
        <v>51</v>
      </c>
      <c r="B8" s="13">
        <v>2.3410000000000002</v>
      </c>
      <c r="C8" s="13">
        <v>1.6</v>
      </c>
      <c r="D8" s="13">
        <v>0.84799999999999998</v>
      </c>
      <c r="E8" s="13">
        <v>1.079</v>
      </c>
      <c r="F8" s="14">
        <f t="shared" si="0"/>
        <v>5.8680000000000003</v>
      </c>
      <c r="G8" s="15">
        <v>73.36</v>
      </c>
    </row>
    <row r="9" spans="1:7" x14ac:dyDescent="0.3">
      <c r="A9" s="35" t="s">
        <v>52</v>
      </c>
      <c r="B9" s="13">
        <v>1.998</v>
      </c>
      <c r="C9" s="13">
        <v>2.359</v>
      </c>
      <c r="D9" s="13">
        <v>1.2829999999999999</v>
      </c>
      <c r="E9" s="13">
        <v>0.84699999999999998</v>
      </c>
      <c r="F9" s="14">
        <f t="shared" si="0"/>
        <v>6.4870000000000001</v>
      </c>
      <c r="G9" s="15">
        <v>72.72</v>
      </c>
    </row>
    <row r="10" spans="1:7" x14ac:dyDescent="0.3">
      <c r="A10" s="35" t="s">
        <v>53</v>
      </c>
      <c r="B10" s="13">
        <v>2.7189999999999999</v>
      </c>
      <c r="C10" s="13">
        <v>1.359</v>
      </c>
      <c r="D10" s="13">
        <v>1.6859999999999999</v>
      </c>
      <c r="E10" s="13">
        <v>0.56699999999999995</v>
      </c>
      <c r="F10" s="14">
        <f t="shared" si="0"/>
        <v>6.3309999999999995</v>
      </c>
      <c r="G10" s="15">
        <v>75.48</v>
      </c>
    </row>
    <row r="11" spans="1:7" x14ac:dyDescent="0.3">
      <c r="A11" s="35" t="s">
        <v>54</v>
      </c>
      <c r="B11" s="13">
        <v>2.9950000000000001</v>
      </c>
      <c r="C11" s="13">
        <v>1.8580000000000001</v>
      </c>
      <c r="D11" s="13">
        <v>1.2090000000000001</v>
      </c>
      <c r="E11" s="13">
        <v>0.84499999999999997</v>
      </c>
      <c r="F11" s="14">
        <f t="shared" si="0"/>
        <v>6.9069999999999991</v>
      </c>
      <c r="G11" s="15">
        <v>76.540000000000006</v>
      </c>
    </row>
    <row r="12" spans="1:7" x14ac:dyDescent="0.3">
      <c r="A12" s="35" t="s">
        <v>55</v>
      </c>
      <c r="B12" s="13">
        <v>2.12</v>
      </c>
      <c r="C12" s="13">
        <v>1.484</v>
      </c>
      <c r="D12" s="13">
        <v>0.97899999999999998</v>
      </c>
      <c r="E12" s="13">
        <v>0.39200000000000002</v>
      </c>
      <c r="F12" s="14">
        <f t="shared" si="0"/>
        <v>4.9750000000000005</v>
      </c>
      <c r="G12" s="15">
        <v>70.58</v>
      </c>
    </row>
    <row r="13" spans="1:7" x14ac:dyDescent="0.3">
      <c r="A13" s="35" t="s">
        <v>56</v>
      </c>
      <c r="B13" s="13">
        <v>2.3860000000000001</v>
      </c>
      <c r="C13" s="13">
        <v>0.83399999999999996</v>
      </c>
      <c r="D13" s="13">
        <v>1.4470000000000001</v>
      </c>
      <c r="E13" s="13">
        <v>0.54</v>
      </c>
      <c r="F13" s="14">
        <f t="shared" si="0"/>
        <v>5.2069999999999999</v>
      </c>
      <c r="G13" s="15">
        <v>63.47</v>
      </c>
    </row>
    <row r="14" spans="1:7" x14ac:dyDescent="0.3">
      <c r="A14" s="35" t="s">
        <v>57</v>
      </c>
      <c r="B14" s="13">
        <v>1.4610000000000001</v>
      </c>
      <c r="C14" s="13">
        <v>1.345</v>
      </c>
      <c r="D14" s="13">
        <v>2.09</v>
      </c>
      <c r="E14" s="13">
        <v>0.64500000000000002</v>
      </c>
      <c r="F14" s="14">
        <f t="shared" si="0"/>
        <v>5.5410000000000004</v>
      </c>
      <c r="G14" s="15">
        <v>66.760000000000005</v>
      </c>
    </row>
    <row r="15" spans="1:7" x14ac:dyDescent="0.3">
      <c r="A15" s="35" t="s">
        <v>58</v>
      </c>
      <c r="B15" s="13">
        <v>1.5940000000000001</v>
      </c>
      <c r="C15" s="13">
        <v>1.784</v>
      </c>
      <c r="D15" s="13">
        <v>1.2789999999999999</v>
      </c>
      <c r="E15" s="13">
        <v>0.41199999999999998</v>
      </c>
      <c r="F15" s="14">
        <f t="shared" si="0"/>
        <v>5.069</v>
      </c>
      <c r="G15" s="15">
        <v>65</v>
      </c>
    </row>
    <row r="16" spans="1:7" x14ac:dyDescent="0.3">
      <c r="A16" s="35" t="s">
        <v>59</v>
      </c>
      <c r="B16" s="13">
        <v>1.9490000000000001</v>
      </c>
      <c r="C16" s="13">
        <v>1.19</v>
      </c>
      <c r="D16" s="13">
        <v>1.139</v>
      </c>
      <c r="E16" s="13">
        <v>0.627</v>
      </c>
      <c r="F16" s="14">
        <f t="shared" si="0"/>
        <v>4.9050000000000002</v>
      </c>
      <c r="G16" s="15">
        <v>59.56</v>
      </c>
    </row>
    <row r="17" spans="1:7" x14ac:dyDescent="0.3">
      <c r="A17" s="35" t="s">
        <v>60</v>
      </c>
      <c r="B17" s="13">
        <v>1.458</v>
      </c>
      <c r="C17" s="13">
        <v>1.8360000000000001</v>
      </c>
      <c r="D17" s="13">
        <v>2.379</v>
      </c>
      <c r="E17" s="13">
        <v>0.84</v>
      </c>
      <c r="F17" s="14">
        <f t="shared" si="0"/>
        <v>6.5129999999999999</v>
      </c>
      <c r="G17" s="15">
        <v>63.08</v>
      </c>
    </row>
    <row r="18" spans="1:7" x14ac:dyDescent="0.3">
      <c r="A18" s="35" t="s">
        <v>61</v>
      </c>
      <c r="B18" s="13">
        <v>2.0739999999999998</v>
      </c>
      <c r="C18" s="13">
        <v>2.6989999999999998</v>
      </c>
      <c r="D18" s="13">
        <v>2.1150000000000002</v>
      </c>
      <c r="E18" s="13">
        <v>0.36899999999999999</v>
      </c>
      <c r="F18" s="14">
        <f t="shared" si="0"/>
        <v>7.2569999999999997</v>
      </c>
      <c r="G18" s="15">
        <v>65.209999999999994</v>
      </c>
    </row>
    <row r="19" spans="1:7" x14ac:dyDescent="0.3">
      <c r="A19" s="35" t="s">
        <v>62</v>
      </c>
      <c r="B19" s="13">
        <v>2.29</v>
      </c>
      <c r="C19" s="13">
        <v>1.413</v>
      </c>
      <c r="D19" s="13">
        <v>2.3140000000000001</v>
      </c>
      <c r="E19" s="13">
        <v>0.64400000000000002</v>
      </c>
      <c r="F19" s="14">
        <f t="shared" si="0"/>
        <v>6.6610000000000005</v>
      </c>
      <c r="G19" s="15">
        <v>68.930000000000007</v>
      </c>
    </row>
    <row r="20" spans="1:7" x14ac:dyDescent="0.3">
      <c r="A20" s="35" t="s">
        <v>63</v>
      </c>
      <c r="B20" s="13">
        <v>2.1579999999999999</v>
      </c>
      <c r="C20" s="13">
        <v>1.7350000000000001</v>
      </c>
      <c r="D20" s="13">
        <v>1.353</v>
      </c>
      <c r="E20" s="13">
        <v>0.91400000000000003</v>
      </c>
      <c r="F20" s="14">
        <f t="shared" si="0"/>
        <v>6.1599999999999993</v>
      </c>
      <c r="G20" s="15">
        <v>76.06</v>
      </c>
    </row>
    <row r="21" spans="1:7" x14ac:dyDescent="0.3">
      <c r="A21" s="35" t="s">
        <v>64</v>
      </c>
      <c r="B21" s="13">
        <v>1.397</v>
      </c>
      <c r="C21" s="13">
        <v>2.6949999999999998</v>
      </c>
      <c r="D21" s="13">
        <v>2.86</v>
      </c>
      <c r="E21" s="13">
        <v>0.752</v>
      </c>
      <c r="F21" s="14">
        <f t="shared" si="0"/>
        <v>7.7039999999999997</v>
      </c>
      <c r="G21" s="15">
        <v>79.3</v>
      </c>
    </row>
    <row r="22" spans="1:7" x14ac:dyDescent="0.3">
      <c r="A22" s="35" t="s">
        <v>65</v>
      </c>
      <c r="B22" s="13">
        <v>2.5289999999999999</v>
      </c>
      <c r="C22" s="13">
        <v>0.94799999999999995</v>
      </c>
      <c r="D22" s="13">
        <v>1.819</v>
      </c>
      <c r="E22" s="13">
        <v>0.69899999999999995</v>
      </c>
      <c r="F22" s="14">
        <f t="shared" si="0"/>
        <v>5.9949999999999992</v>
      </c>
      <c r="G22" s="15">
        <v>75.55</v>
      </c>
    </row>
    <row r="23" spans="1:7" x14ac:dyDescent="0.3">
      <c r="A23" s="35" t="s">
        <v>66</v>
      </c>
      <c r="B23" s="13">
        <v>3.3130000000000002</v>
      </c>
      <c r="C23" s="13">
        <v>1.351</v>
      </c>
      <c r="D23" s="13">
        <v>1.619</v>
      </c>
      <c r="E23" s="13">
        <v>0.54600000000000004</v>
      </c>
      <c r="F23" s="14">
        <f t="shared" si="0"/>
        <v>6.8289999999999997</v>
      </c>
      <c r="G23" s="15">
        <v>75.52</v>
      </c>
    </row>
    <row r="24" spans="1:7" x14ac:dyDescent="0.3">
      <c r="A24" s="35" t="s">
        <v>67</v>
      </c>
      <c r="B24" s="13">
        <v>3.032</v>
      </c>
      <c r="C24" s="13">
        <v>1.129</v>
      </c>
      <c r="D24" s="13">
        <v>1.5349999999999999</v>
      </c>
      <c r="E24" s="13">
        <v>0.73299999999999998</v>
      </c>
      <c r="F24" s="14">
        <f t="shared" si="0"/>
        <v>6.4289999999999994</v>
      </c>
      <c r="G24" s="15">
        <v>74.239999999999995</v>
      </c>
    </row>
    <row r="25" spans="1:7" x14ac:dyDescent="0.3">
      <c r="A25" s="35" t="s">
        <v>68</v>
      </c>
      <c r="B25" s="13">
        <v>1.835</v>
      </c>
      <c r="C25" s="13">
        <v>1.2649999999999999</v>
      </c>
      <c r="D25" s="13">
        <v>1.5389999999999999</v>
      </c>
      <c r="E25" s="13">
        <v>0.90700000000000003</v>
      </c>
      <c r="F25" s="14">
        <f t="shared" si="0"/>
        <v>5.5459999999999994</v>
      </c>
      <c r="G25" s="15">
        <v>65.180000000000007</v>
      </c>
    </row>
    <row r="26" spans="1:7" x14ac:dyDescent="0.3">
      <c r="A26" s="16" t="s">
        <v>69</v>
      </c>
      <c r="B26" s="17">
        <f t="shared" ref="B26:G26" si="1">SUM(B2:B25)</f>
        <v>51.348000000000006</v>
      </c>
      <c r="C26" s="17">
        <f t="shared" si="1"/>
        <v>37.48899999999999</v>
      </c>
      <c r="D26" s="17">
        <f t="shared" si="1"/>
        <v>39.925000000000004</v>
      </c>
      <c r="E26" s="17">
        <f t="shared" si="1"/>
        <v>17.037000000000003</v>
      </c>
      <c r="F26" s="17">
        <f t="shared" si="1"/>
        <v>145.79899999999998</v>
      </c>
      <c r="G26" s="17">
        <f t="shared" si="1"/>
        <v>1630.99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showGridLines="0" zoomScaleNormal="100" workbookViewId="0">
      <pane xSplit="1" ySplit="1" topLeftCell="B2" activePane="bottomRight" state="frozen"/>
      <selection pane="topRight" activeCell="C1" sqref="C1"/>
      <selection pane="bottomLeft" activeCell="A6" sqref="A6"/>
      <selection pane="bottomRight" activeCell="A2" sqref="A2:A25"/>
    </sheetView>
  </sheetViews>
  <sheetFormatPr defaultColWidth="8.6640625" defaultRowHeight="14.4" x14ac:dyDescent="0.3"/>
  <cols>
    <col min="1" max="1" width="10" customWidth="1"/>
    <col min="2" max="3" width="20" customWidth="1"/>
    <col min="4" max="4" width="18" customWidth="1"/>
    <col min="5" max="5" width="20" customWidth="1"/>
  </cols>
  <sheetData>
    <row r="1" spans="1:5" ht="26.4" x14ac:dyDescent="0.3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</row>
    <row r="2" spans="1:5" x14ac:dyDescent="0.3">
      <c r="A2" s="36" t="str">
        <f>'Monthly Data'!A2</f>
        <v>Apr-24</v>
      </c>
      <c r="B2" s="14">
        <f>'Monthly Data'!B2</f>
        <v>2.2629999999999999</v>
      </c>
      <c r="C2" s="14">
        <f>'Monthly Data'!C2</f>
        <v>0.872</v>
      </c>
      <c r="D2" s="14">
        <f>'Monthly Data'!D2</f>
        <v>1.6719999999999999</v>
      </c>
      <c r="E2" s="14">
        <f>'Monthly Data'!E2</f>
        <v>0.94099999999999995</v>
      </c>
    </row>
    <row r="3" spans="1:5" x14ac:dyDescent="0.3">
      <c r="A3" s="36" t="str">
        <f>'Monthly Data'!A3</f>
        <v>May-24</v>
      </c>
      <c r="B3" s="14">
        <f>'Monthly Data'!B3+Assumptions!$B$15*B2</f>
        <v>2.7284999999999999</v>
      </c>
      <c r="C3" s="14">
        <f>'Monthly Data'!C3+Assumptions!$B$16*C2</f>
        <v>1.6096000000000001</v>
      </c>
      <c r="D3" s="14">
        <f>'Monthly Data'!D3+Assumptions!$B$17*D2</f>
        <v>2.4754</v>
      </c>
      <c r="E3" s="14">
        <f>'Monthly Data'!E3+Assumptions!$B$18*E2</f>
        <v>1.03115</v>
      </c>
    </row>
    <row r="4" spans="1:5" x14ac:dyDescent="0.3">
      <c r="A4" s="36" t="str">
        <f>'Monthly Data'!A4</f>
        <v>Jun-24</v>
      </c>
      <c r="B4" s="14">
        <f>'Monthly Data'!B4+Assumptions!$B$15*B3</f>
        <v>2.8632499999999999</v>
      </c>
      <c r="C4" s="14">
        <f>'Monthly Data'!C4+Assumptions!$B$16*C3</f>
        <v>2.0728800000000001</v>
      </c>
      <c r="D4" s="14">
        <f>'Monthly Data'!D4+Assumptions!$B$17*D3</f>
        <v>2.7189300000000003</v>
      </c>
      <c r="E4" s="14">
        <f>'Monthly Data'!E4+Assumptions!$B$18*E3</f>
        <v>0.6616725</v>
      </c>
    </row>
    <row r="5" spans="1:5" x14ac:dyDescent="0.3">
      <c r="A5" s="36" t="str">
        <f>'Monthly Data'!A5</f>
        <v>Jul-24</v>
      </c>
      <c r="B5" s="14">
        <f>'Monthly Data'!B5+Assumptions!$B$15*B4</f>
        <v>3.3776250000000001</v>
      </c>
      <c r="C5" s="14">
        <f>'Monthly Data'!C5+Assumptions!$B$16*C4</f>
        <v>1.6988639999999999</v>
      </c>
      <c r="D5" s="14">
        <f>'Monthly Data'!D5+Assumptions!$B$17*D4</f>
        <v>2.6515184999999999</v>
      </c>
      <c r="E5" s="14">
        <f>'Monthly Data'!E5+Assumptions!$B$18*E4</f>
        <v>1.0182508750000001</v>
      </c>
    </row>
    <row r="6" spans="1:5" x14ac:dyDescent="0.3">
      <c r="A6" s="36" t="str">
        <f>'Monthly Data'!A6</f>
        <v>Aug-24</v>
      </c>
      <c r="B6" s="14">
        <f>'Monthly Data'!B6+Assumptions!$B$15*B5</f>
        <v>3.7668124999999999</v>
      </c>
      <c r="C6" s="14">
        <f>'Monthly Data'!C6+Assumptions!$B$16*C5</f>
        <v>2.1386592000000002</v>
      </c>
      <c r="D6" s="14">
        <f>'Monthly Data'!D6+Assumptions!$B$17*D5</f>
        <v>3.319183325</v>
      </c>
      <c r="E6" s="14">
        <f>'Monthly Data'!E6+Assumptions!$B$18*E5</f>
        <v>0.83473763125000011</v>
      </c>
    </row>
    <row r="7" spans="1:5" x14ac:dyDescent="0.3">
      <c r="A7" s="36" t="str">
        <f>'Monthly Data'!A7</f>
        <v>Sep-24</v>
      </c>
      <c r="B7" s="14">
        <f>'Monthly Data'!B7+Assumptions!$B$15*B6</f>
        <v>4.19940625</v>
      </c>
      <c r="C7" s="14">
        <f>'Monthly Data'!C7+Assumptions!$B$16*C6</f>
        <v>2.7305977600000002</v>
      </c>
      <c r="D7" s="14">
        <f>'Monthly Data'!D7+Assumptions!$B$17*D6</f>
        <v>3.3716324962500002</v>
      </c>
      <c r="E7" s="14">
        <f>'Monthly Data'!E7+Assumptions!$B$18*E6</f>
        <v>0.86521064468749997</v>
      </c>
    </row>
    <row r="8" spans="1:5" x14ac:dyDescent="0.3">
      <c r="A8" s="36" t="str">
        <f>'Monthly Data'!A8</f>
        <v>Oct-24</v>
      </c>
      <c r="B8" s="14">
        <f>'Monthly Data'!B8+Assumptions!$B$15*B7</f>
        <v>4.4407031250000006</v>
      </c>
      <c r="C8" s="14">
        <f>'Monthly Data'!C8+Assumptions!$B$16*C7</f>
        <v>2.4191793280000002</v>
      </c>
      <c r="D8" s="14">
        <f>'Monthly Data'!D8+Assumptions!$B$17*D7</f>
        <v>2.3652346233124999</v>
      </c>
      <c r="E8" s="14">
        <f>'Monthly Data'!E8+Assumptions!$B$18*E7</f>
        <v>1.208781596703125</v>
      </c>
    </row>
    <row r="9" spans="1:5" x14ac:dyDescent="0.3">
      <c r="A9" s="36" t="str">
        <f>'Monthly Data'!A9</f>
        <v>Nov-24</v>
      </c>
      <c r="B9" s="14">
        <f>'Monthly Data'!B9+Assumptions!$B$15*B8</f>
        <v>4.2183515625000005</v>
      </c>
      <c r="C9" s="14">
        <f>'Monthly Data'!C9+Assumptions!$B$16*C8</f>
        <v>3.0847537984</v>
      </c>
      <c r="D9" s="14">
        <f>'Monthly Data'!D9+Assumptions!$B$17*D8</f>
        <v>2.3473555804906248</v>
      </c>
      <c r="E9" s="14">
        <f>'Monthly Data'!E9+Assumptions!$B$18*E8</f>
        <v>1.0283172395054687</v>
      </c>
    </row>
    <row r="10" spans="1:5" x14ac:dyDescent="0.3">
      <c r="A10" s="36" t="str">
        <f>'Monthly Data'!A10</f>
        <v>Dec-24</v>
      </c>
      <c r="B10" s="14">
        <f>'Monthly Data'!B10+Assumptions!$B$15*B9</f>
        <v>4.8281757812499997</v>
      </c>
      <c r="C10" s="14">
        <f>'Monthly Data'!C10+Assumptions!$B$16*C9</f>
        <v>2.2844261395199998</v>
      </c>
      <c r="D10" s="14">
        <f>'Monthly Data'!D10+Assumptions!$B$17*D9</f>
        <v>2.7423100112207814</v>
      </c>
      <c r="E10" s="14">
        <f>'Monthly Data'!E10+Assumptions!$B$18*E9</f>
        <v>0.72124758592582028</v>
      </c>
    </row>
    <row r="11" spans="1:5" x14ac:dyDescent="0.3">
      <c r="A11" s="36" t="str">
        <f>'Monthly Data'!A11</f>
        <v>Jan-25</v>
      </c>
      <c r="B11" s="14">
        <f>'Monthly Data'!B11+Assumptions!$B$15*B10</f>
        <v>5.409087890625</v>
      </c>
      <c r="C11" s="14">
        <f>'Monthly Data'!C11+Assumptions!$B$16*C10</f>
        <v>2.5433278418560001</v>
      </c>
      <c r="D11" s="14">
        <f>'Monthly Data'!D11+Assumptions!$B$17*D10</f>
        <v>2.4430395050493519</v>
      </c>
      <c r="E11" s="14">
        <f>'Monthly Data'!E11+Assumptions!$B$18*E10</f>
        <v>0.95318713788887299</v>
      </c>
    </row>
    <row r="12" spans="1:5" x14ac:dyDescent="0.3">
      <c r="A12" s="36" t="str">
        <f>'Monthly Data'!A12</f>
        <v>Feb-25</v>
      </c>
      <c r="B12" s="14">
        <f>'Monthly Data'!B12+Assumptions!$B$15*B11</f>
        <v>4.8245439453125005</v>
      </c>
      <c r="C12" s="14">
        <f>'Monthly Data'!C12+Assumptions!$B$16*C11</f>
        <v>2.2469983525568002</v>
      </c>
      <c r="D12" s="14">
        <f>'Monthly Data'!D12+Assumptions!$B$17*D11</f>
        <v>2.0783677772722084</v>
      </c>
      <c r="E12" s="14">
        <f>'Monthly Data'!E12+Assumptions!$B$18*E11</f>
        <v>0.53497807068333092</v>
      </c>
    </row>
    <row r="13" spans="1:5" x14ac:dyDescent="0.3">
      <c r="A13" s="36" t="str">
        <f>'Monthly Data'!A13</f>
        <v>Mar-25</v>
      </c>
      <c r="B13" s="14">
        <f>'Monthly Data'!B13+Assumptions!$B$15*B12</f>
        <v>4.7982719726562504</v>
      </c>
      <c r="C13" s="14">
        <f>'Monthly Data'!C13+Assumptions!$B$16*C12</f>
        <v>1.5080995057670399</v>
      </c>
      <c r="D13" s="14">
        <f>'Monthly Data'!D13+Assumptions!$B$17*D12</f>
        <v>2.3822654997724939</v>
      </c>
      <c r="E13" s="14">
        <f>'Monthly Data'!E13+Assumptions!$B$18*E12</f>
        <v>0.6202467106024997</v>
      </c>
    </row>
    <row r="14" spans="1:5" x14ac:dyDescent="0.3">
      <c r="A14" s="36" t="str">
        <f>'Monthly Data'!A14</f>
        <v>Apr-25</v>
      </c>
      <c r="B14" s="14">
        <f>'Monthly Data'!B14+Assumptions!$B$15*B13</f>
        <v>3.8601359863281255</v>
      </c>
      <c r="C14" s="14">
        <f>'Monthly Data'!C14+Assumptions!$B$16*C13</f>
        <v>1.7974298517301119</v>
      </c>
      <c r="D14" s="14">
        <f>'Monthly Data'!D14+Assumptions!$B$17*D13</f>
        <v>3.1620194748976225</v>
      </c>
      <c r="E14" s="14">
        <f>'Monthly Data'!E14+Assumptions!$B$18*E13</f>
        <v>0.73803700659037497</v>
      </c>
    </row>
    <row r="15" spans="1:5" x14ac:dyDescent="0.3">
      <c r="A15" s="36" t="str">
        <f>'Monthly Data'!A15</f>
        <v>May-25</v>
      </c>
      <c r="B15" s="14">
        <f>'Monthly Data'!B15+Assumptions!$B$15*B14</f>
        <v>3.5240679931640626</v>
      </c>
      <c r="C15" s="14">
        <f>'Monthly Data'!C15+Assumptions!$B$16*C14</f>
        <v>2.3232289555190335</v>
      </c>
      <c r="D15" s="14">
        <f>'Monthly Data'!D15+Assumptions!$B$17*D14</f>
        <v>2.7019087637039298</v>
      </c>
      <c r="E15" s="14">
        <f>'Monthly Data'!E15+Assumptions!$B$18*E14</f>
        <v>0.5227055509885562</v>
      </c>
    </row>
    <row r="16" spans="1:5" x14ac:dyDescent="0.3">
      <c r="A16" s="36" t="str">
        <f>'Monthly Data'!A16</f>
        <v>Jun-25</v>
      </c>
      <c r="B16" s="14">
        <f>'Monthly Data'!B16+Assumptions!$B$15*B15</f>
        <v>3.7110339965820316</v>
      </c>
      <c r="C16" s="14">
        <f>'Monthly Data'!C16+Assumptions!$B$16*C15</f>
        <v>1.88696868665571</v>
      </c>
      <c r="D16" s="14">
        <f>'Monthly Data'!D16+Assumptions!$B$17*D15</f>
        <v>2.3548589436667684</v>
      </c>
      <c r="E16" s="14">
        <f>'Monthly Data'!E16+Assumptions!$B$18*E15</f>
        <v>0.70540583264828338</v>
      </c>
    </row>
    <row r="17" spans="1:5" x14ac:dyDescent="0.3">
      <c r="A17" s="36" t="str">
        <f>'Monthly Data'!A17</f>
        <v>Jul-25</v>
      </c>
      <c r="B17" s="14">
        <f>'Monthly Data'!B17+Assumptions!$B$15*B16</f>
        <v>3.313516998291016</v>
      </c>
      <c r="C17" s="14">
        <f>'Monthly Data'!C17+Assumptions!$B$16*C16</f>
        <v>2.4020906059967131</v>
      </c>
      <c r="D17" s="14">
        <f>'Monthly Data'!D17+Assumptions!$B$17*D16</f>
        <v>3.4386865246500458</v>
      </c>
      <c r="E17" s="14">
        <f>'Monthly Data'!E17+Assumptions!$B$18*E16</f>
        <v>0.94581087489724247</v>
      </c>
    </row>
    <row r="18" spans="1:5" x14ac:dyDescent="0.3">
      <c r="A18" s="36" t="str">
        <f>'Monthly Data'!A18</f>
        <v>Aug-25</v>
      </c>
      <c r="B18" s="14">
        <f>'Monthly Data'!B18+Assumptions!$B$15*B17</f>
        <v>3.7307584991455078</v>
      </c>
      <c r="C18" s="14">
        <f>'Monthly Data'!C18+Assumptions!$B$16*C17</f>
        <v>3.4196271817990138</v>
      </c>
      <c r="D18" s="14">
        <f>'Monthly Data'!D18+Assumptions!$B$17*D17</f>
        <v>3.6624089360925209</v>
      </c>
      <c r="E18" s="14">
        <f>'Monthly Data'!E18+Assumptions!$B$18*E17</f>
        <v>0.51087163123458634</v>
      </c>
    </row>
    <row r="19" spans="1:5" x14ac:dyDescent="0.3">
      <c r="A19" s="36" t="str">
        <f>'Monthly Data'!A19</f>
        <v>Sep-25</v>
      </c>
      <c r="B19" s="14">
        <f>'Monthly Data'!B19+Assumptions!$B$15*B18</f>
        <v>4.1553792495727535</v>
      </c>
      <c r="C19" s="14">
        <f>'Monthly Data'!C19+Assumptions!$B$16*C18</f>
        <v>2.4388881545397041</v>
      </c>
      <c r="D19" s="14">
        <f>'Monthly Data'!D19+Assumptions!$B$17*D18</f>
        <v>3.9620840212416346</v>
      </c>
      <c r="E19" s="14">
        <f>'Monthly Data'!E19+Assumptions!$B$18*E18</f>
        <v>0.72063074468518795</v>
      </c>
    </row>
    <row r="20" spans="1:5" x14ac:dyDescent="0.3">
      <c r="A20" s="36" t="str">
        <f>'Monthly Data'!A20</f>
        <v>Oct-25</v>
      </c>
      <c r="B20" s="14">
        <f>'Monthly Data'!B20+Assumptions!$B$15*B19</f>
        <v>4.2356896247863762</v>
      </c>
      <c r="C20" s="14">
        <f>'Monthly Data'!C20+Assumptions!$B$16*C19</f>
        <v>2.4666664463619115</v>
      </c>
      <c r="D20" s="14">
        <f>'Monthly Data'!D20+Assumptions!$B$17*D19</f>
        <v>3.1359378095587358</v>
      </c>
      <c r="E20" s="14">
        <f>'Monthly Data'!E20+Assumptions!$B$18*E19</f>
        <v>1.0220946117027783</v>
      </c>
    </row>
    <row r="21" spans="1:5" x14ac:dyDescent="0.3">
      <c r="A21" s="36" t="str">
        <f>'Monthly Data'!A21</f>
        <v>Nov-25</v>
      </c>
      <c r="B21" s="14">
        <f>'Monthly Data'!B21+Assumptions!$B$15*B20</f>
        <v>3.5148448123931884</v>
      </c>
      <c r="C21" s="14">
        <f>'Monthly Data'!C21+Assumptions!$B$16*C20</f>
        <v>3.4349999339085731</v>
      </c>
      <c r="D21" s="14">
        <f>'Monthly Data'!D21+Assumptions!$B$17*D20</f>
        <v>4.2711720143014311</v>
      </c>
      <c r="E21" s="14">
        <f>'Monthly Data'!E21+Assumptions!$B$18*E20</f>
        <v>0.90531419175541672</v>
      </c>
    </row>
    <row r="22" spans="1:5" x14ac:dyDescent="0.3">
      <c r="A22" s="36" t="str">
        <f>'Monthly Data'!A22</f>
        <v>Dec-25</v>
      </c>
      <c r="B22" s="14">
        <f>'Monthly Data'!B22+Assumptions!$B$15*B21</f>
        <v>4.2864224061965945</v>
      </c>
      <c r="C22" s="14">
        <f>'Monthly Data'!C22+Assumptions!$B$16*C21</f>
        <v>1.9784999801725718</v>
      </c>
      <c r="D22" s="14">
        <f>'Monthly Data'!D22+Assumptions!$B$17*D21</f>
        <v>3.7410274064356441</v>
      </c>
      <c r="E22" s="14">
        <f>'Monthly Data'!E22+Assumptions!$B$18*E21</f>
        <v>0.83479712876331247</v>
      </c>
    </row>
    <row r="23" spans="1:5" x14ac:dyDescent="0.3">
      <c r="A23" s="36" t="str">
        <f>'Monthly Data'!A23</f>
        <v>Jan-26</v>
      </c>
      <c r="B23" s="14">
        <f>'Monthly Data'!B23+Assumptions!$B$15*B22</f>
        <v>5.456211203098297</v>
      </c>
      <c r="C23" s="14">
        <f>'Monthly Data'!C23+Assumptions!$B$16*C22</f>
        <v>1.9445499940517714</v>
      </c>
      <c r="D23" s="14">
        <f>'Monthly Data'!D23+Assumptions!$B$17*D22</f>
        <v>3.3024623328960399</v>
      </c>
      <c r="E23" s="14">
        <f>'Monthly Data'!E23+Assumptions!$B$18*E22</f>
        <v>0.67121956931449689</v>
      </c>
    </row>
    <row r="24" spans="1:5" x14ac:dyDescent="0.3">
      <c r="A24" s="36" t="str">
        <f>'Monthly Data'!A24</f>
        <v>Feb-26</v>
      </c>
      <c r="B24" s="14">
        <f>'Monthly Data'!B24+Assumptions!$B$15*B23</f>
        <v>5.7601056015491485</v>
      </c>
      <c r="C24" s="14">
        <f>'Monthly Data'!C24+Assumptions!$B$16*C23</f>
        <v>1.7123649982155316</v>
      </c>
      <c r="D24" s="14">
        <f>'Monthly Data'!D24+Assumptions!$B$17*D23</f>
        <v>3.0211080498032179</v>
      </c>
      <c r="E24" s="14">
        <f>'Monthly Data'!E24+Assumptions!$B$18*E23</f>
        <v>0.83368293539717453</v>
      </c>
    </row>
    <row r="25" spans="1:5" x14ac:dyDescent="0.3">
      <c r="A25" s="36" t="str">
        <f>'Monthly Data'!A25</f>
        <v>Mar-26</v>
      </c>
      <c r="B25" s="14">
        <f>'Monthly Data'!B25+Assumptions!$B$15*B24</f>
        <v>4.7150528007745738</v>
      </c>
      <c r="C25" s="14">
        <f>'Monthly Data'!C25+Assumptions!$B$16*C24</f>
        <v>1.7787094994646595</v>
      </c>
      <c r="D25" s="14">
        <f>'Monthly Data'!D25+Assumptions!$B$17*D24</f>
        <v>2.8984986224114477</v>
      </c>
      <c r="E25" s="14">
        <f>'Monthly Data'!E25+Assumptions!$B$18*E24</f>
        <v>1.0320524403095761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6" sqref="A6"/>
      <selection pane="bottomRight" activeCell="G8" sqref="G8"/>
    </sheetView>
  </sheetViews>
  <sheetFormatPr defaultColWidth="8.6640625" defaultRowHeight="14.4" x14ac:dyDescent="0.3"/>
  <cols>
    <col min="1" max="1" width="43.44140625" bestFit="1" customWidth="1"/>
    <col min="2" max="7" width="17" customWidth="1"/>
  </cols>
  <sheetData>
    <row r="1" spans="1:7" ht="25.5" customHeight="1" x14ac:dyDescent="0.3">
      <c r="A1" s="38" t="s">
        <v>70</v>
      </c>
      <c r="B1" s="38"/>
      <c r="C1" s="38"/>
      <c r="D1" s="38"/>
      <c r="E1" s="38"/>
      <c r="F1" s="38"/>
      <c r="G1" s="38"/>
    </row>
    <row r="2" spans="1:7" ht="26.4" x14ac:dyDescent="0.3">
      <c r="A2" s="18" t="s">
        <v>71</v>
      </c>
      <c r="B2" s="2" t="s">
        <v>72</v>
      </c>
      <c r="C2" s="2" t="s">
        <v>73</v>
      </c>
      <c r="D2" s="2" t="s">
        <v>74</v>
      </c>
      <c r="E2" s="2" t="s">
        <v>75</v>
      </c>
      <c r="F2" s="2" t="s">
        <v>76</v>
      </c>
    </row>
    <row r="3" spans="1:7" x14ac:dyDescent="0.3">
      <c r="A3" s="19" t="s">
        <v>77</v>
      </c>
      <c r="B3" s="20">
        <f t="array" ref="B3:F3">LINEST('Monthly Data'!G2:G25,Adstock!B2:E25,TRUE(),FALSE())</f>
        <v>7.6305885673131071</v>
      </c>
      <c r="C3" s="20">
        <v>1.8829491833518184</v>
      </c>
      <c r="D3" s="20">
        <v>4.2014695454357467</v>
      </c>
      <c r="E3" s="20">
        <v>5.2318766593114345</v>
      </c>
      <c r="F3" s="20">
        <v>25.532587167583443</v>
      </c>
    </row>
    <row r="5" spans="1:7" x14ac:dyDescent="0.3">
      <c r="A5" s="21" t="s">
        <v>78</v>
      </c>
    </row>
    <row r="6" spans="1:7" ht="26.4" x14ac:dyDescent="0.3">
      <c r="A6" s="2" t="s">
        <v>38</v>
      </c>
      <c r="B6" s="2" t="s">
        <v>79</v>
      </c>
      <c r="C6" s="2" t="s">
        <v>80</v>
      </c>
      <c r="D6" s="2" t="s">
        <v>81</v>
      </c>
      <c r="E6" s="2" t="s">
        <v>82</v>
      </c>
      <c r="F6" s="2" t="s">
        <v>83</v>
      </c>
    </row>
    <row r="7" spans="1:7" x14ac:dyDescent="0.3">
      <c r="A7" s="37" t="str">
        <f>'Monthly Data'!A2</f>
        <v>Apr-24</v>
      </c>
      <c r="B7" s="9">
        <f>'Monthly Data'!G2</f>
        <v>56.03</v>
      </c>
      <c r="C7" s="9">
        <f>$F$3+$E$3*Adstock!B2+$D$3*Adstock!C2+$C$3*Adstock!D2+$B$3*Adstock!E2</f>
        <v>51.36468036763106</v>
      </c>
      <c r="D7" s="9">
        <f t="shared" ref="D7:D30" si="0">B7-C7</f>
        <v>4.6653196323689414</v>
      </c>
      <c r="E7" s="9">
        <f t="shared" ref="E7:E30" si="1">D7^2</f>
        <v>21.765207272167075</v>
      </c>
      <c r="F7" s="9">
        <f>(B7-AVERAGE('Monthly Data'!G2:G25))^2</f>
        <v>142.27519600694433</v>
      </c>
    </row>
    <row r="8" spans="1:7" x14ac:dyDescent="0.3">
      <c r="A8" s="37" t="str">
        <f>'Monthly Data'!A3</f>
        <v>May-24</v>
      </c>
      <c r="B8" s="9">
        <f>'Monthly Data'!G3</f>
        <v>58.77</v>
      </c>
      <c r="C8" s="9">
        <f>$F$3+$E$3*Adstock!B3+$D$3*Adstock!C3+$C$3*Adstock!D3+$B$3*Adstock!E3</f>
        <v>59.099781822502074</v>
      </c>
      <c r="D8" s="9">
        <f t="shared" si="0"/>
        <v>-0.32978182250207055</v>
      </c>
      <c r="E8" s="9">
        <f t="shared" si="1"/>
        <v>0.10875605045278716</v>
      </c>
      <c r="F8" s="9">
        <f>(B8-AVERAGE('Monthly Data'!G2:G25))^2</f>
        <v>84.417812673610968</v>
      </c>
    </row>
    <row r="9" spans="1:7" x14ac:dyDescent="0.3">
      <c r="A9" s="37" t="str">
        <f>'Monthly Data'!A4</f>
        <v>Jun-24</v>
      </c>
      <c r="B9" s="9">
        <f>'Monthly Data'!G4</f>
        <v>58.97</v>
      </c>
      <c r="C9" s="9">
        <f>$F$3+$E$3*Adstock!B4+$D$3*Adstock!C4+$C$3*Adstock!D4+$B$3*Adstock!E4</f>
        <v>59.390457840596</v>
      </c>
      <c r="D9" s="9">
        <f t="shared" si="0"/>
        <v>-0.42045784059600066</v>
      </c>
      <c r="E9" s="9">
        <f t="shared" si="1"/>
        <v>0.17678479571865191</v>
      </c>
      <c r="F9" s="9">
        <f>(B9-AVERAGE('Monthly Data'!G2:G25))^2</f>
        <v>80.78264600694439</v>
      </c>
    </row>
    <row r="10" spans="1:7" x14ac:dyDescent="0.3">
      <c r="A10" s="37" t="str">
        <f>'Monthly Data'!A5</f>
        <v>Jul-24</v>
      </c>
      <c r="B10" s="9">
        <f>'Monthly Data'!G5</f>
        <v>58.97</v>
      </c>
      <c r="C10" s="9">
        <f>$F$3+$E$3*Adstock!B5+$D$3*Adstock!C5+$C$3*Adstock!D5+$B$3*Adstock!E5</f>
        <v>63.104158006476183</v>
      </c>
      <c r="D10" s="9">
        <f t="shared" si="0"/>
        <v>-4.1341580064761843</v>
      </c>
      <c r="E10" s="9">
        <f t="shared" si="1"/>
        <v>17.091262422511139</v>
      </c>
      <c r="F10" s="9">
        <f>(B10-AVERAGE('Monthly Data'!G2:G25))^2</f>
        <v>80.78264600694439</v>
      </c>
    </row>
    <row r="11" spans="1:7" x14ac:dyDescent="0.3">
      <c r="A11" s="37" t="str">
        <f>'Monthly Data'!A6</f>
        <v>Aug-24</v>
      </c>
      <c r="B11" s="9">
        <f>'Monthly Data'!G6</f>
        <v>62.96</v>
      </c>
      <c r="C11" s="9">
        <f>$F$3+$E$3*Adstock!B6+$D$3*Adstock!C6+$C$3*Adstock!D6+$B$3*Adstock!E6</f>
        <v>66.84499002012798</v>
      </c>
      <c r="D11" s="9">
        <f t="shared" si="0"/>
        <v>-3.8849900201279794</v>
      </c>
      <c r="E11" s="9">
        <f t="shared" si="1"/>
        <v>15.093147456493998</v>
      </c>
      <c r="F11" s="9">
        <f>(B11-AVERAGE('Monthly Data'!G2:G25))^2</f>
        <v>24.979171006944391</v>
      </c>
    </row>
    <row r="12" spans="1:7" x14ac:dyDescent="0.3">
      <c r="A12" s="37" t="str">
        <f>'Monthly Data'!A7</f>
        <v>Sep-24</v>
      </c>
      <c r="B12" s="9">
        <f>'Monthly Data'!G7</f>
        <v>68.75</v>
      </c>
      <c r="C12" s="9">
        <f>$F$3+$E$3*Adstock!B7+$D$3*Adstock!C7+$C$3*Adstock!D7+$B$3*Adstock!E7</f>
        <v>71.926565148446485</v>
      </c>
      <c r="D12" s="9">
        <f t="shared" si="0"/>
        <v>-3.1765651484464854</v>
      </c>
      <c r="E12" s="9">
        <f t="shared" si="1"/>
        <v>10.090566142324843</v>
      </c>
      <c r="F12" s="9">
        <f>(B12-AVERAGE('Monthly Data'!G2:G25))^2</f>
        <v>0.6273960069444513</v>
      </c>
    </row>
    <row r="13" spans="1:7" x14ac:dyDescent="0.3">
      <c r="A13" s="37" t="str">
        <f>'Monthly Data'!A8</f>
        <v>Oct-24</v>
      </c>
      <c r="B13" s="9">
        <f>'Monthly Data'!G8</f>
        <v>73.36</v>
      </c>
      <c r="C13" s="9">
        <f>$F$3+$E$3*Adstock!B8+$D$3*Adstock!C8+$C$3*Adstock!D8+$B$3*Adstock!E8</f>
        <v>72.607238104325077</v>
      </c>
      <c r="D13" s="9">
        <f t="shared" si="0"/>
        <v>0.75276189567492224</v>
      </c>
      <c r="E13" s="9">
        <f t="shared" si="1"/>
        <v>0.56665047158010251</v>
      </c>
      <c r="F13" s="9">
        <f>(B13-AVERAGE('Monthly Data'!G2:G25))^2</f>
        <v>29.18250434027782</v>
      </c>
    </row>
    <row r="14" spans="1:7" x14ac:dyDescent="0.3">
      <c r="A14" s="37" t="str">
        <f>'Monthly Data'!A9</f>
        <v>Nov-24</v>
      </c>
      <c r="B14" s="9">
        <f>'Monthly Data'!G9</f>
        <v>72.72</v>
      </c>
      <c r="C14" s="9">
        <f>$F$3+$E$3*Adstock!B9+$D$3*Adstock!C9+$C$3*Adstock!D9+$B$3*Adstock!E9</f>
        <v>72.829598432004531</v>
      </c>
      <c r="D14" s="9">
        <f t="shared" si="0"/>
        <v>-0.10959843200453179</v>
      </c>
      <c r="E14" s="9">
        <f t="shared" si="1"/>
        <v>1.2011816297851977E-2</v>
      </c>
      <c r="F14" s="9">
        <f>(B14-AVERAGE('Monthly Data'!G2:G25))^2</f>
        <v>22.677437673611141</v>
      </c>
    </row>
    <row r="15" spans="1:7" x14ac:dyDescent="0.3">
      <c r="A15" s="37" t="str">
        <f>'Monthly Data'!A10</f>
        <v>Dec-24</v>
      </c>
      <c r="B15" s="9">
        <f>'Monthly Data'!G10</f>
        <v>75.48</v>
      </c>
      <c r="C15" s="9">
        <f>$F$3+$E$3*Adstock!B10+$D$3*Adstock!C10+$C$3*Adstock!D10+$B$3*Adstock!E10</f>
        <v>71.058128178042125</v>
      </c>
      <c r="D15" s="9">
        <f t="shared" si="0"/>
        <v>4.421871821957879</v>
      </c>
      <c r="E15" s="9">
        <f t="shared" si="1"/>
        <v>19.552950409825094</v>
      </c>
      <c r="F15" s="9">
        <f>(B15-AVERAGE('Monthly Data'!G2:G25))^2</f>
        <v>56.581737673611237</v>
      </c>
    </row>
    <row r="16" spans="1:7" x14ac:dyDescent="0.3">
      <c r="A16" s="37" t="str">
        <f>'Monthly Data'!A11</f>
        <v>Jan-25</v>
      </c>
      <c r="B16" s="9">
        <f>'Monthly Data'!G11</f>
        <v>76.540000000000006</v>
      </c>
      <c r="C16" s="9">
        <f>$F$3+$E$3*Adstock!B11+$D$3*Adstock!C11+$C$3*Adstock!D11+$B$3*Adstock!E11</f>
        <v>76.391480440138949</v>
      </c>
      <c r="D16" s="9">
        <f t="shared" si="0"/>
        <v>0.14851955986105736</v>
      </c>
      <c r="E16" s="9">
        <f t="shared" si="1"/>
        <v>2.20580596613222E-2</v>
      </c>
      <c r="F16" s="9">
        <f>(B16-AVERAGE('Monthly Data'!G2:G25))^2</f>
        <v>73.65215434027796</v>
      </c>
    </row>
    <row r="17" spans="1:6" x14ac:dyDescent="0.3">
      <c r="A17" s="37" t="str">
        <f>'Monthly Data'!A12</f>
        <v>Feb-25</v>
      </c>
      <c r="B17" s="9">
        <f>'Monthly Data'!G12</f>
        <v>70.58</v>
      </c>
      <c r="C17" s="9">
        <f>$F$3+$E$3*Adstock!B12+$D$3*Adstock!C12+$C$3*Adstock!D12+$B$3*Adstock!E12</f>
        <v>68.210359632636781</v>
      </c>
      <c r="D17" s="9">
        <f t="shared" si="0"/>
        <v>2.3696403673632176</v>
      </c>
      <c r="E17" s="9">
        <f t="shared" si="1"/>
        <v>5.6151954706372846</v>
      </c>
      <c r="F17" s="9">
        <f>(B17-AVERAGE('Monthly Data'!G2:G25))^2</f>
        <v>6.8753210069444579</v>
      </c>
    </row>
    <row r="18" spans="1:6" x14ac:dyDescent="0.3">
      <c r="A18" s="37" t="str">
        <f>'Monthly Data'!A13</f>
        <v>Mar-25</v>
      </c>
      <c r="B18" s="9">
        <f>'Monthly Data'!G13</f>
        <v>63.47</v>
      </c>
      <c r="C18" s="9">
        <f>$F$3+$E$3*Adstock!B13+$D$3*Adstock!C13+$C$3*Adstock!D13+$B$3*Adstock!E13</f>
        <v>66.191320787479654</v>
      </c>
      <c r="D18" s="9">
        <f t="shared" si="0"/>
        <v>-2.7213207874796552</v>
      </c>
      <c r="E18" s="9">
        <f t="shared" si="1"/>
        <v>7.4055868283688913</v>
      </c>
      <c r="F18" s="9">
        <f>(B18-AVERAGE('Monthly Data'!G2:G25))^2</f>
        <v>20.141396006944415</v>
      </c>
    </row>
    <row r="19" spans="1:6" x14ac:dyDescent="0.3">
      <c r="A19" s="37" t="str">
        <f>'Monthly Data'!A14</f>
        <v>Apr-25</v>
      </c>
      <c r="B19" s="9">
        <f>'Monthly Data'!G14</f>
        <v>66.760000000000005</v>
      </c>
      <c r="C19" s="9">
        <f>$F$3+$E$3*Adstock!B14+$D$3*Adstock!C14+$C$3*Adstock!D14+$B$3*Adstock!E14</f>
        <v>64.865768051066368</v>
      </c>
      <c r="D19" s="9">
        <f t="shared" si="0"/>
        <v>1.894231948933637</v>
      </c>
      <c r="E19" s="9">
        <f t="shared" si="1"/>
        <v>3.5881146763609246</v>
      </c>
      <c r="F19" s="9">
        <f>(B19-AVERAGE('Monthly Data'!G2:G25))^2</f>
        <v>1.435004340277755</v>
      </c>
    </row>
    <row r="20" spans="1:6" x14ac:dyDescent="0.3">
      <c r="A20" s="37" t="str">
        <f>'Monthly Data'!A15</f>
        <v>May-25</v>
      </c>
      <c r="B20" s="9">
        <f>'Monthly Data'!G15</f>
        <v>65</v>
      </c>
      <c r="C20" s="9">
        <f>$F$3+$E$3*Adstock!B15+$D$3*Adstock!C15+$C$3*Adstock!D15+$B$3*Adstock!E15</f>
        <v>62.807159852084524</v>
      </c>
      <c r="D20" s="9">
        <f t="shared" si="0"/>
        <v>2.1928401479154758</v>
      </c>
      <c r="E20" s="9">
        <f t="shared" si="1"/>
        <v>4.8085479143099654</v>
      </c>
      <c r="F20" s="9">
        <f>(B20-AVERAGE('Monthly Data'!G2:G25))^2</f>
        <v>8.7492710069444186</v>
      </c>
    </row>
    <row r="21" spans="1:6" x14ac:dyDescent="0.3">
      <c r="A21" s="37" t="str">
        <f>'Monthly Data'!A16</f>
        <v>Jun-25</v>
      </c>
      <c r="B21" s="9">
        <f>'Monthly Data'!G16</f>
        <v>59.56</v>
      </c>
      <c r="C21" s="9">
        <f>$F$3+$E$3*Adstock!B16+$D$3*Adstock!C16+$C$3*Adstock!D16+$B$3*Adstock!E16</f>
        <v>62.693042193195097</v>
      </c>
      <c r="D21" s="9">
        <f t="shared" si="0"/>
        <v>-3.1330421931950951</v>
      </c>
      <c r="E21" s="9">
        <f t="shared" si="1"/>
        <v>9.8159533843407321</v>
      </c>
      <c r="F21" s="9">
        <f>(B21-AVERAGE('Monthly Data'!G2:G25))^2</f>
        <v>70.525004340277661</v>
      </c>
    </row>
    <row r="22" spans="1:6" x14ac:dyDescent="0.3">
      <c r="A22" s="37" t="str">
        <f>'Monthly Data'!A17</f>
        <v>Jul-25</v>
      </c>
      <c r="B22" s="9">
        <f>'Monthly Data'!G17</f>
        <v>63.08</v>
      </c>
      <c r="C22" s="9">
        <f>$F$3+$E$3*Adstock!B17+$D$3*Adstock!C17+$C$3*Adstock!D17+$B$3*Adstock!E17</f>
        <v>66.6527755698704</v>
      </c>
      <c r="D22" s="9">
        <f t="shared" si="0"/>
        <v>-3.5727755698704016</v>
      </c>
      <c r="E22" s="9">
        <f t="shared" si="1"/>
        <v>12.764725272662773</v>
      </c>
      <c r="F22" s="9">
        <f>(B22-AVERAGE('Monthly Data'!G2:G25))^2</f>
        <v>23.794071006944417</v>
      </c>
    </row>
    <row r="23" spans="1:6" x14ac:dyDescent="0.3">
      <c r="A23" s="37" t="str">
        <f>'Monthly Data'!A18</f>
        <v>Aug-25</v>
      </c>
      <c r="B23" s="9">
        <f>'Monthly Data'!G18</f>
        <v>65.209999999999994</v>
      </c>
      <c r="C23" s="9">
        <f>$F$3+$E$3*Adstock!B18+$D$3*Adstock!C18+$C$3*Adstock!D18+$B$3*Adstock!E18</f>
        <v>70.213296085842444</v>
      </c>
      <c r="D23" s="9">
        <f t="shared" si="0"/>
        <v>-5.0032960858424502</v>
      </c>
      <c r="E23" s="9">
        <f t="shared" si="1"/>
        <v>25.032971722606383</v>
      </c>
      <c r="F23" s="9">
        <f>(B23-AVERAGE('Monthly Data'!G2:G25))^2</f>
        <v>7.5510460069444552</v>
      </c>
    </row>
    <row r="24" spans="1:6" x14ac:dyDescent="0.3">
      <c r="A24" s="37" t="str">
        <f>'Monthly Data'!A19</f>
        <v>Sep-25</v>
      </c>
      <c r="B24" s="9">
        <f>'Monthly Data'!G19</f>
        <v>68.930000000000007</v>
      </c>
      <c r="C24" s="9">
        <f>$F$3+$E$3*Adstock!B19+$D$3*Adstock!C19+$C$3*Adstock!D19+$B$3*Adstock!E19</f>
        <v>70.479172773850109</v>
      </c>
      <c r="D24" s="9">
        <f t="shared" si="0"/>
        <v>-1.5491727738501027</v>
      </c>
      <c r="E24" s="9">
        <f t="shared" si="1"/>
        <v>2.3999362832384215</v>
      </c>
      <c r="F24" s="9">
        <f>(B24-AVERAGE('Monthly Data'!G2:G25))^2</f>
        <v>0.94494600694446618</v>
      </c>
    </row>
    <row r="25" spans="1:6" x14ac:dyDescent="0.3">
      <c r="A25" s="37" t="str">
        <f>'Monthly Data'!A20</f>
        <v>Oct-25</v>
      </c>
      <c r="B25" s="9">
        <f>'Monthly Data'!G20</f>
        <v>76.06</v>
      </c>
      <c r="C25" s="9">
        <f>$F$3+$E$3*Adstock!B20+$D$3*Adstock!C20+$C$3*Adstock!D20+$B$3*Adstock!E20</f>
        <v>71.760811801050949</v>
      </c>
      <c r="D25" s="9">
        <f t="shared" si="0"/>
        <v>4.2991881989490537</v>
      </c>
      <c r="E25" s="9">
        <f t="shared" si="1"/>
        <v>18.483019169982807</v>
      </c>
      <c r="F25" s="9">
        <f>(B25-AVERAGE('Monthly Data'!G2:G25))^2</f>
        <v>65.64375434027788</v>
      </c>
    </row>
    <row r="26" spans="1:6" x14ac:dyDescent="0.3">
      <c r="A26" s="37" t="str">
        <f>'Monthly Data'!A21</f>
        <v>Nov-25</v>
      </c>
      <c r="B26" s="9">
        <f>'Monthly Data'!G21</f>
        <v>79.3</v>
      </c>
      <c r="C26" s="9">
        <f>$F$3+$E$3*Adstock!B21+$D$3*Adstock!C21+$C$3*Adstock!D21+$B$3*Adstock!E21</f>
        <v>73.304349291255122</v>
      </c>
      <c r="D26" s="9">
        <f t="shared" si="0"/>
        <v>5.9956507087448756</v>
      </c>
      <c r="E26" s="9">
        <f t="shared" si="1"/>
        <v>35.947827421272926</v>
      </c>
      <c r="F26" s="9">
        <f>(B26-AVERAGE('Monthly Data'!G2:G25))^2</f>
        <v>128.64285434027781</v>
      </c>
    </row>
    <row r="27" spans="1:6" x14ac:dyDescent="0.3">
      <c r="A27" s="37" t="str">
        <f>'Monthly Data'!A22</f>
        <v>Dec-25</v>
      </c>
      <c r="B27" s="9">
        <f>'Monthly Data'!G22</f>
        <v>75.55</v>
      </c>
      <c r="C27" s="9">
        <f>$F$3+$E$3*Adstock!B22+$D$3*Adstock!C22+$C$3*Adstock!D22+$B$3*Adstock!E22</f>
        <v>69.685385845465163</v>
      </c>
      <c r="D27" s="9">
        <f t="shared" si="0"/>
        <v>5.8646141545348343</v>
      </c>
      <c r="E27" s="9">
        <f t="shared" si="1"/>
        <v>34.393699181570327</v>
      </c>
      <c r="F27" s="9">
        <f>(B27-AVERAGE('Monthly Data'!G2:G25))^2</f>
        <v>57.639729340277803</v>
      </c>
    </row>
    <row r="28" spans="1:6" x14ac:dyDescent="0.3">
      <c r="A28" s="37" t="str">
        <f>'Monthly Data'!A23</f>
        <v>Jan-26</v>
      </c>
      <c r="B28" s="9">
        <f>'Monthly Data'!G23</f>
        <v>75.52</v>
      </c>
      <c r="C28" s="9">
        <f>$F$3+$E$3*Adstock!B23+$D$3*Adstock!C23+$C$3*Adstock!D23+$B$3*Adstock!E23</f>
        <v>73.588947913477526</v>
      </c>
      <c r="D28" s="9">
        <f t="shared" si="0"/>
        <v>1.9310520865224703</v>
      </c>
      <c r="E28" s="9">
        <f t="shared" si="1"/>
        <v>3.7289621608627859</v>
      </c>
      <c r="F28" s="9">
        <f>(B28-AVERAGE('Monthly Data'!G2:G25))^2</f>
        <v>57.185104340277782</v>
      </c>
    </row>
    <row r="29" spans="1:6" x14ac:dyDescent="0.3">
      <c r="A29" s="37" t="str">
        <f>'Monthly Data'!A24</f>
        <v>Feb-26</v>
      </c>
      <c r="B29" s="9">
        <f>'Monthly Data'!G24</f>
        <v>74.239999999999995</v>
      </c>
      <c r="C29" s="9">
        <f>$F$3+$E$3*Adstock!B24+$D$3*Adstock!C24+$C$3*Adstock!D24+$B$3*Adstock!E24</f>
        <v>74.913283020970468</v>
      </c>
      <c r="D29" s="9">
        <f t="shared" si="0"/>
        <v>-0.67328302097047299</v>
      </c>
      <c r="E29" s="9">
        <f t="shared" si="1"/>
        <v>0.45331002632712636</v>
      </c>
      <c r="F29" s="9">
        <f>(B29-AVERAGE('Monthly Data'!G2:G25))^2</f>
        <v>39.464571006944432</v>
      </c>
    </row>
    <row r="30" spans="1:6" x14ac:dyDescent="0.3">
      <c r="A30" s="37" t="str">
        <f>'Monthly Data'!A25</f>
        <v>Mar-26</v>
      </c>
      <c r="B30" s="9">
        <f>'Monthly Data'!G25</f>
        <v>65.180000000000007</v>
      </c>
      <c r="C30" s="9">
        <f>$F$3+$E$3*Adstock!B25+$D$3*Adstock!C25+$C$3*Adstock!D25+$B$3*Adstock!E25</f>
        <v>71.007248821464813</v>
      </c>
      <c r="D30" s="9">
        <f t="shared" si="0"/>
        <v>-5.8272488214648064</v>
      </c>
      <c r="E30" s="9">
        <f t="shared" si="1"/>
        <v>33.956828827262974</v>
      </c>
      <c r="F30" s="9">
        <f>(B30-AVERAGE('Monthly Data'!G2:G25))^2</f>
        <v>7.7168210069443823</v>
      </c>
    </row>
    <row r="31" spans="1:6" x14ac:dyDescent="0.3">
      <c r="A31" s="18" t="s">
        <v>84</v>
      </c>
      <c r="E31" s="22">
        <f>SUM(E7:E30)</f>
        <v>282.87407323683721</v>
      </c>
      <c r="F31" s="22">
        <f>SUM(F7:F30)</f>
        <v>1092.2675958333332</v>
      </c>
    </row>
    <row r="33" spans="1:6" x14ac:dyDescent="0.3">
      <c r="A33" s="18" t="s">
        <v>85</v>
      </c>
      <c r="B33" s="23">
        <f>1-(E31/F31)</f>
        <v>0.74102127142111029</v>
      </c>
    </row>
    <row r="34" spans="1:6" x14ac:dyDescent="0.3">
      <c r="A34" s="18" t="s">
        <v>86</v>
      </c>
      <c r="B34" s="24">
        <f>(B33/4)/((1-B33)/(24-4-1))</f>
        <v>13.591274691033409</v>
      </c>
    </row>
    <row r="37" spans="1:6" x14ac:dyDescent="0.3">
      <c r="A37" s="21" t="s">
        <v>87</v>
      </c>
    </row>
    <row r="38" spans="1:6" ht="39.6" x14ac:dyDescent="0.3">
      <c r="A38" s="2" t="s">
        <v>88</v>
      </c>
      <c r="B38" s="2" t="s">
        <v>89</v>
      </c>
      <c r="C38" s="2" t="s">
        <v>90</v>
      </c>
      <c r="D38" s="2" t="s">
        <v>91</v>
      </c>
      <c r="E38" s="2" t="s">
        <v>92</v>
      </c>
      <c r="F38" s="2" t="s">
        <v>93</v>
      </c>
    </row>
    <row r="39" spans="1:6" x14ac:dyDescent="0.3">
      <c r="A39" s="3" t="s">
        <v>39</v>
      </c>
      <c r="B39" s="25">
        <f>E3</f>
        <v>5.2318766593114345</v>
      </c>
      <c r="C39" s="9">
        <f>'Monthly Data'!B26</f>
        <v>51.348000000000006</v>
      </c>
      <c r="D39" s="9">
        <f>B39*SUM(Adstock!B2:B25)</f>
        <v>512.62423070885347</v>
      </c>
      <c r="E39" s="7">
        <f>D39/$D$43</f>
        <v>0.50345732604537086</v>
      </c>
      <c r="F39" s="26">
        <f>D39/C39</f>
        <v>9.9833339313868787</v>
      </c>
    </row>
    <row r="40" spans="1:6" x14ac:dyDescent="0.3">
      <c r="A40" s="3" t="s">
        <v>40</v>
      </c>
      <c r="B40" s="25">
        <f>D3</f>
        <v>4.2014695454357467</v>
      </c>
      <c r="C40" s="9">
        <f>'Monthly Data'!C26</f>
        <v>37.48899999999999</v>
      </c>
      <c r="D40" s="9">
        <f>B40*SUM(Adstock!C2:C25)</f>
        <v>221.8099052159819</v>
      </c>
      <c r="E40" s="7">
        <f>D40/$D$43</f>
        <v>0.21784343205157572</v>
      </c>
      <c r="F40" s="26">
        <f>D40/C40</f>
        <v>5.9166663612254782</v>
      </c>
    </row>
    <row r="41" spans="1:6" x14ac:dyDescent="0.3">
      <c r="A41" s="3" t="s">
        <v>41</v>
      </c>
      <c r="B41" s="25">
        <f>C3</f>
        <v>1.8829491833518184</v>
      </c>
      <c r="C41" s="9">
        <f>'Monthly Data'!D26</f>
        <v>39.925000000000004</v>
      </c>
      <c r="D41" s="9">
        <f>B41*SUM(Adstock!D2:D25)</f>
        <v>132.21958112548026</v>
      </c>
      <c r="E41" s="7">
        <f>D41/$D$43</f>
        <v>0.12985518977950958</v>
      </c>
      <c r="F41" s="26">
        <f>D41/C41</f>
        <v>3.3116989636939325</v>
      </c>
    </row>
    <row r="42" spans="1:6" x14ac:dyDescent="0.3">
      <c r="A42" s="3" t="s">
        <v>42</v>
      </c>
      <c r="B42" s="25">
        <f>B3</f>
        <v>7.6305885673131071</v>
      </c>
      <c r="C42" s="9">
        <f>'Monthly Data'!E26</f>
        <v>17.037000000000003</v>
      </c>
      <c r="D42" s="9">
        <f>B42*SUM(Adstock!E2:E25)</f>
        <v>151.55419092768159</v>
      </c>
      <c r="E42" s="7">
        <f>D42/$D$43</f>
        <v>0.14884405212354387</v>
      </c>
      <c r="F42" s="26">
        <f>D42/C42</f>
        <v>8.8955914144322108</v>
      </c>
    </row>
    <row r="43" spans="1:6" x14ac:dyDescent="0.3">
      <c r="A43" s="16" t="s">
        <v>94</v>
      </c>
      <c r="B43" s="10"/>
      <c r="C43" s="17">
        <f>SUM(C39:C42)</f>
        <v>145.79900000000001</v>
      </c>
      <c r="D43" s="17">
        <f>SUM(D39:D42)</f>
        <v>1018.2079079779973</v>
      </c>
      <c r="E43" s="10"/>
      <c r="F43" s="10"/>
    </row>
    <row r="44" spans="1:6" x14ac:dyDescent="0.3">
      <c r="A44" s="27" t="s">
        <v>95</v>
      </c>
      <c r="D44" s="28">
        <f>F3*24</f>
        <v>612.78209202200264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showGridLines="0" zoomScaleNormal="100" workbookViewId="0">
      <selection activeCell="B19" sqref="B19"/>
    </sheetView>
  </sheetViews>
  <sheetFormatPr defaultColWidth="8.6640625" defaultRowHeight="14.4" x14ac:dyDescent="0.3"/>
  <cols>
    <col min="1" max="1" width="26" customWidth="1"/>
    <col min="2" max="2" width="18" customWidth="1"/>
    <col min="3" max="3" width="16" customWidth="1"/>
    <col min="4" max="4" width="18" customWidth="1"/>
    <col min="5" max="5" width="14" customWidth="1"/>
    <col min="6" max="6" width="22" customWidth="1"/>
  </cols>
  <sheetData>
    <row r="1" spans="1:6" ht="25.5" customHeight="1" x14ac:dyDescent="0.3">
      <c r="A1" s="38" t="s">
        <v>96</v>
      </c>
      <c r="B1" s="38"/>
      <c r="C1" s="38"/>
      <c r="D1" s="38"/>
      <c r="E1" s="38"/>
      <c r="F1" s="38"/>
    </row>
    <row r="2" spans="1:6" x14ac:dyDescent="0.3">
      <c r="A2" s="39" t="s">
        <v>97</v>
      </c>
      <c r="B2" s="39"/>
      <c r="C2" s="39"/>
      <c r="D2" s="39"/>
      <c r="E2" s="39"/>
      <c r="F2" s="39"/>
    </row>
    <row r="4" spans="1:6" ht="26.4" x14ac:dyDescent="0.3">
      <c r="A4" s="2" t="s">
        <v>88</v>
      </c>
      <c r="B4" s="2" t="s">
        <v>98</v>
      </c>
      <c r="C4" s="2" t="s">
        <v>99</v>
      </c>
      <c r="D4" s="2" t="s">
        <v>100</v>
      </c>
      <c r="E4" s="2" t="s">
        <v>93</v>
      </c>
      <c r="F4" s="2" t="s">
        <v>101</v>
      </c>
    </row>
    <row r="5" spans="1:6" x14ac:dyDescent="0.3">
      <c r="A5" s="3" t="s">
        <v>39</v>
      </c>
      <c r="B5" s="9">
        <f>'MMM Regression'!C39</f>
        <v>51.348000000000006</v>
      </c>
      <c r="C5" s="29">
        <v>3</v>
      </c>
      <c r="D5" s="9">
        <f>B5+C5</f>
        <v>54.348000000000006</v>
      </c>
      <c r="E5" s="26">
        <f>'MMM Regression'!F39</f>
        <v>9.9833339313868787</v>
      </c>
      <c r="F5" s="30">
        <f>C5*E5</f>
        <v>29.950001794160634</v>
      </c>
    </row>
    <row r="6" spans="1:6" x14ac:dyDescent="0.3">
      <c r="A6" s="3" t="s">
        <v>40</v>
      </c>
      <c r="B6" s="9">
        <f>'MMM Regression'!C40</f>
        <v>37.48899999999999</v>
      </c>
      <c r="C6" s="29">
        <v>0</v>
      </c>
      <c r="D6" s="9">
        <f>B6+C6</f>
        <v>37.48899999999999</v>
      </c>
      <c r="E6" s="26">
        <f>'MMM Regression'!F40</f>
        <v>5.9166663612254782</v>
      </c>
      <c r="F6" s="30">
        <f>C6*E6</f>
        <v>0</v>
      </c>
    </row>
    <row r="7" spans="1:6" x14ac:dyDescent="0.3">
      <c r="A7" s="3" t="s">
        <v>41</v>
      </c>
      <c r="B7" s="9">
        <f>'MMM Regression'!C41</f>
        <v>39.925000000000004</v>
      </c>
      <c r="C7" s="29">
        <v>-3</v>
      </c>
      <c r="D7" s="9">
        <f>B7+C7</f>
        <v>36.925000000000004</v>
      </c>
      <c r="E7" s="26">
        <f>'MMM Regression'!F41</f>
        <v>3.3116989636939325</v>
      </c>
      <c r="F7" s="30">
        <f>C7*E7</f>
        <v>-9.9350968910817983</v>
      </c>
    </row>
    <row r="8" spans="1:6" x14ac:dyDescent="0.3">
      <c r="A8" s="3" t="s">
        <v>42</v>
      </c>
      <c r="B8" s="9">
        <f>'MMM Regression'!C42</f>
        <v>17.037000000000003</v>
      </c>
      <c r="C8" s="29">
        <v>0</v>
      </c>
      <c r="D8" s="9">
        <f>B8+C8</f>
        <v>17.037000000000003</v>
      </c>
      <c r="E8" s="26">
        <f>'MMM Regression'!F42</f>
        <v>8.8955914144322108</v>
      </c>
      <c r="F8" s="30">
        <f>C8*E8</f>
        <v>0</v>
      </c>
    </row>
    <row r="9" spans="1:6" x14ac:dyDescent="0.3">
      <c r="A9" s="16" t="s">
        <v>102</v>
      </c>
      <c r="B9" s="31">
        <f>SUM(B5:B8)</f>
        <v>145.79900000000001</v>
      </c>
      <c r="C9" s="31">
        <f>SUM(C5:C8)</f>
        <v>0</v>
      </c>
      <c r="D9" s="31">
        <f>SUM(D5:D8)</f>
        <v>145.79900000000001</v>
      </c>
      <c r="E9" s="10"/>
      <c r="F9" s="31">
        <f>SUM(F5:F8)</f>
        <v>20.014904903078836</v>
      </c>
    </row>
    <row r="10" spans="1:6" x14ac:dyDescent="0.3">
      <c r="A10" s="19" t="s">
        <v>103</v>
      </c>
      <c r="C10" s="32">
        <f>C9</f>
        <v>0</v>
      </c>
    </row>
    <row r="12" spans="1:6" x14ac:dyDescent="0.3">
      <c r="A12" s="18" t="s">
        <v>104</v>
      </c>
      <c r="F12" s="33">
        <f>F9</f>
        <v>20.014904903078836</v>
      </c>
    </row>
    <row r="15" spans="1:6" x14ac:dyDescent="0.3">
      <c r="A15" s="39" t="s">
        <v>105</v>
      </c>
      <c r="B15" s="39"/>
      <c r="C15" s="39"/>
      <c r="D15" s="39"/>
      <c r="E15" s="39"/>
      <c r="F15" s="39"/>
    </row>
  </sheetData>
  <mergeCells count="3">
    <mergeCell ref="A1:F1"/>
    <mergeCell ref="A2:F2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2806-E30F-42FA-B0C4-533FA76B27AF}">
  <dimension ref="A1:E32"/>
  <sheetViews>
    <sheetView showGridLines="0" tabSelected="1" zoomScaleNormal="100" workbookViewId="0">
      <selection sqref="A1:XFD1"/>
    </sheetView>
  </sheetViews>
  <sheetFormatPr defaultColWidth="8.6640625" defaultRowHeight="14.4" x14ac:dyDescent="0.3"/>
  <cols>
    <col min="1" max="1" width="55" customWidth="1"/>
    <col min="2" max="5" width="20" customWidth="1"/>
  </cols>
  <sheetData>
    <row r="1" spans="1:5" ht="25.5" customHeight="1" x14ac:dyDescent="0.3">
      <c r="A1" s="38" t="s">
        <v>106</v>
      </c>
      <c r="B1" s="38"/>
      <c r="C1" s="38"/>
      <c r="D1" s="38"/>
      <c r="E1" s="38"/>
    </row>
    <row r="2" spans="1:5" x14ac:dyDescent="0.3">
      <c r="A2" s="39" t="s">
        <v>107</v>
      </c>
      <c r="B2" s="39"/>
      <c r="C2" s="39"/>
      <c r="D2" s="39"/>
      <c r="E2" s="39"/>
    </row>
    <row r="4" spans="1:5" x14ac:dyDescent="0.3">
      <c r="A4" s="21" t="s">
        <v>108</v>
      </c>
    </row>
    <row r="5" spans="1:5" ht="15" customHeight="1" x14ac:dyDescent="0.3">
      <c r="A5" s="40" t="s">
        <v>109</v>
      </c>
      <c r="B5" s="40"/>
      <c r="C5" s="40"/>
      <c r="D5" s="40"/>
      <c r="E5" s="40"/>
    </row>
    <row r="6" spans="1:5" ht="15" customHeight="1" x14ac:dyDescent="0.3">
      <c r="A6" s="40" t="s">
        <v>110</v>
      </c>
      <c r="B6" s="40"/>
      <c r="C6" s="40"/>
      <c r="D6" s="40"/>
      <c r="E6" s="40"/>
    </row>
    <row r="7" spans="1:5" ht="15" customHeight="1" x14ac:dyDescent="0.3">
      <c r="A7" s="40" t="s">
        <v>111</v>
      </c>
      <c r="B7" s="40"/>
      <c r="C7" s="40"/>
      <c r="D7" s="40"/>
      <c r="E7" s="40"/>
    </row>
    <row r="8" spans="1:5" ht="15" customHeight="1" x14ac:dyDescent="0.3">
      <c r="A8" s="40" t="s">
        <v>112</v>
      </c>
      <c r="B8" s="40"/>
      <c r="C8" s="40"/>
      <c r="D8" s="40"/>
      <c r="E8" s="40"/>
    </row>
    <row r="9" spans="1:5" ht="15" customHeight="1" x14ac:dyDescent="0.3">
      <c r="A9" s="40" t="s">
        <v>113</v>
      </c>
      <c r="B9" s="40"/>
      <c r="C9" s="40"/>
      <c r="D9" s="40"/>
      <c r="E9" s="40"/>
    </row>
    <row r="10" spans="1:5" ht="15" customHeight="1" x14ac:dyDescent="0.3">
      <c r="A10" s="40" t="s">
        <v>114</v>
      </c>
      <c r="B10" s="40"/>
      <c r="C10" s="40"/>
      <c r="D10" s="40"/>
      <c r="E10" s="40"/>
    </row>
    <row r="11" spans="1:5" ht="15" customHeight="1" x14ac:dyDescent="0.3">
      <c r="A11" s="40" t="s">
        <v>115</v>
      </c>
      <c r="B11" s="40"/>
      <c r="C11" s="40"/>
      <c r="D11" s="40"/>
      <c r="E11" s="40"/>
    </row>
    <row r="12" spans="1:5" ht="15" customHeight="1" x14ac:dyDescent="0.3">
      <c r="A12" s="40" t="s">
        <v>116</v>
      </c>
      <c r="B12" s="40"/>
      <c r="C12" s="40"/>
      <c r="D12" s="40"/>
      <c r="E12" s="40"/>
    </row>
    <row r="14" spans="1:5" x14ac:dyDescent="0.3">
      <c r="A14" s="21" t="s">
        <v>117</v>
      </c>
    </row>
    <row r="15" spans="1:5" x14ac:dyDescent="0.3">
      <c r="A15" s="2" t="s">
        <v>118</v>
      </c>
      <c r="B15" s="2" t="s">
        <v>119</v>
      </c>
      <c r="C15" s="2" t="s">
        <v>120</v>
      </c>
      <c r="D15" s="2" t="s">
        <v>121</v>
      </c>
      <c r="E15" s="2" t="s">
        <v>122</v>
      </c>
    </row>
    <row r="16" spans="1:5" x14ac:dyDescent="0.3">
      <c r="A16" s="3" t="s">
        <v>123</v>
      </c>
      <c r="B16" s="34"/>
      <c r="C16" s="34"/>
      <c r="D16" s="34"/>
      <c r="E16" s="34"/>
    </row>
    <row r="17" spans="1:5" x14ac:dyDescent="0.3">
      <c r="A17" s="3" t="s">
        <v>124</v>
      </c>
      <c r="B17" s="34"/>
      <c r="C17" s="34"/>
      <c r="D17" s="34"/>
      <c r="E17" s="34"/>
    </row>
    <row r="18" spans="1:5" x14ac:dyDescent="0.3">
      <c r="A18" s="3" t="s">
        <v>125</v>
      </c>
      <c r="B18" s="34"/>
      <c r="C18" s="34"/>
      <c r="D18" s="34"/>
      <c r="E18" s="34"/>
    </row>
    <row r="19" spans="1:5" x14ac:dyDescent="0.3">
      <c r="A19" s="3" t="s">
        <v>126</v>
      </c>
      <c r="B19" s="34"/>
      <c r="C19" s="34"/>
      <c r="D19" s="34"/>
      <c r="E19" s="34"/>
    </row>
    <row r="20" spans="1:5" x14ac:dyDescent="0.3">
      <c r="A20" s="3" t="s">
        <v>127</v>
      </c>
      <c r="B20" s="34"/>
      <c r="C20" s="34"/>
      <c r="D20" s="34"/>
      <c r="E20" s="34"/>
    </row>
    <row r="23" spans="1:5" x14ac:dyDescent="0.3">
      <c r="A23" s="21" t="s">
        <v>128</v>
      </c>
    </row>
    <row r="24" spans="1:5" x14ac:dyDescent="0.3">
      <c r="A24" s="40" t="s">
        <v>129</v>
      </c>
      <c r="B24" s="40"/>
      <c r="C24" s="40"/>
      <c r="D24" s="40"/>
      <c r="E24" s="40"/>
    </row>
    <row r="25" spans="1:5" x14ac:dyDescent="0.3">
      <c r="A25" s="40" t="s">
        <v>130</v>
      </c>
      <c r="B25" s="40"/>
      <c r="C25" s="40"/>
      <c r="D25" s="40"/>
      <c r="E25" s="40"/>
    </row>
    <row r="26" spans="1:5" x14ac:dyDescent="0.3">
      <c r="A26" s="40" t="s">
        <v>131</v>
      </c>
      <c r="B26" s="40"/>
      <c r="C26" s="40"/>
      <c r="D26" s="40"/>
      <c r="E26" s="40"/>
    </row>
    <row r="29" spans="1:5" x14ac:dyDescent="0.3">
      <c r="A29" s="21" t="s">
        <v>132</v>
      </c>
    </row>
    <row r="30" spans="1:5" x14ac:dyDescent="0.3">
      <c r="A30" s="18" t="s">
        <v>133</v>
      </c>
      <c r="B30" s="41"/>
      <c r="C30" s="41"/>
      <c r="D30" s="41"/>
      <c r="E30" s="41"/>
    </row>
    <row r="31" spans="1:5" x14ac:dyDescent="0.3">
      <c r="A31" s="18" t="s">
        <v>134</v>
      </c>
      <c r="B31" s="41"/>
      <c r="C31" s="41"/>
      <c r="D31" s="41"/>
      <c r="E31" s="41"/>
    </row>
    <row r="32" spans="1:5" x14ac:dyDescent="0.3">
      <c r="A32" s="18" t="s">
        <v>135</v>
      </c>
      <c r="B32" s="41"/>
      <c r="C32" s="41"/>
      <c r="D32" s="41"/>
      <c r="E32" s="41"/>
    </row>
  </sheetData>
  <mergeCells count="16">
    <mergeCell ref="A8:E8"/>
    <mergeCell ref="A1:E1"/>
    <mergeCell ref="A2:E2"/>
    <mergeCell ref="A5:E5"/>
    <mergeCell ref="A6:E6"/>
    <mergeCell ref="A7:E7"/>
    <mergeCell ref="A26:E26"/>
    <mergeCell ref="B30:E30"/>
    <mergeCell ref="B31:E31"/>
    <mergeCell ref="B32:E32"/>
    <mergeCell ref="A9:E9"/>
    <mergeCell ref="A10:E10"/>
    <mergeCell ref="A11:E11"/>
    <mergeCell ref="A12:E12"/>
    <mergeCell ref="A24:E24"/>
    <mergeCell ref="A25:E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Monthly Data</vt:lpstr>
      <vt:lpstr>Adstock</vt:lpstr>
      <vt:lpstr>MMM Regression</vt:lpstr>
      <vt:lpstr>Budget Reallocation</vt:lpstr>
      <vt:lpstr>GTM Research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Yash Mittal</cp:lastModifiedBy>
  <cp:revision>0</cp:revision>
  <dcterms:created xsi:type="dcterms:W3CDTF">2026-07-23T06:25:10Z</dcterms:created>
  <dcterms:modified xsi:type="dcterms:W3CDTF">2026-07-27T20:20:14Z</dcterms:modified>
  <dc:language>en-US</dc:language>
</cp:coreProperties>
</file>